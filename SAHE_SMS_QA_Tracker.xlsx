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xr:revisionPtr revIDLastSave="0" documentId="8_{0107E2A3-8BC3-492B-B1B2-79F9CF7E042D}" xr6:coauthVersionLast="47" xr6:coauthVersionMax="47" xr10:uidLastSave="{00000000-0000-0000-0000-000000000000}"/>
  <bookViews>
    <workbookView xWindow="0" yWindow="0" windowWidth="16384" windowHeight="8192" tabRatio="500" firstSheet="7" activeTab="7" xr2:uid="{00000000-000D-0000-FFFF-FFFF00000000}"/>
  </bookViews>
  <sheets>
    <sheet name="Main Dashboard" sheetId="1" r:id="rId1"/>
    <sheet name="Guidelines" sheetId="2" r:id="rId2"/>
    <sheet name="Lists" sheetId="3" state="hidden" r:id="rId3"/>
    <sheet name="Analytics" sheetId="4" r:id="rId4"/>
    <sheet name="Academics" sheetId="5" r:id="rId5"/>
    <sheet name="Admissions" sheetId="6" r:id="rId6"/>
    <sheet name="Students" sheetId="7" r:id="rId7"/>
    <sheet name="Finance" sheetId="8" r:id="rId8"/>
    <sheet name="Human Resources" sheetId="9" r:id="rId9"/>
    <sheet name="Agents" sheetId="14" r:id="rId10"/>
    <sheet name="Compliance and Audit" sheetId="11" r:id="rId11"/>
    <sheet name="Settings" sheetId="12" r:id="rId12"/>
  </sheets>
  <definedNames>
    <definedName name="_xlnm._FilterDatabase" localSheetId="4" hidden="1">Academics!$A$3:$P$300</definedName>
    <definedName name="_xlnm._FilterDatabase" localSheetId="5" hidden="1">Admissions!$A$3:$P$300</definedName>
    <definedName name="_xlnm._FilterDatabase" localSheetId="3" hidden="1">Analytics!$A$3:$P$125</definedName>
    <definedName name="_xlnm._FilterDatabase" localSheetId="10" hidden="1">'Compliance and Audit'!$A$3:$P$300</definedName>
    <definedName name="_xlnm._FilterDatabase" localSheetId="7" hidden="1">Finance!#REF!</definedName>
    <definedName name="_xlnm._FilterDatabase" localSheetId="8" hidden="1">'Human Resources'!$A$3:$P$300</definedName>
    <definedName name="_xlnm._FilterDatabase" localSheetId="11" hidden="1">Settings!$A$3:$P$300</definedName>
    <definedName name="_xlnm._FilterDatabase" localSheetId="6" hidden="1">Students!$A$3:$P$253</definedName>
    <definedName name="List_Environment">Lists!$F$2:$F$6</definedName>
    <definedName name="List_Modules">Lists!$A$2:$A$10</definedName>
    <definedName name="List_Priority">Lists!$E$2:$E$5</definedName>
    <definedName name="List_Severity">Lists!$D$2:$D$5</definedName>
    <definedName name="List_Status">Lists!$C$2:$C$7</definedName>
    <definedName name="List_Testers">Lists!$B$2:$B$5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5" i="1" l="1"/>
  <c r="E17" i="1"/>
  <c r="E18" i="1"/>
  <c r="G16" i="1"/>
  <c r="G12" i="1"/>
  <c r="G11" i="1"/>
  <c r="G15" i="1"/>
  <c r="G13" i="1"/>
  <c r="G10" i="1"/>
  <c r="I18" i="1"/>
  <c r="H18" i="1"/>
  <c r="G18" i="1"/>
  <c r="F18" i="1"/>
  <c r="I17" i="1"/>
  <c r="H17" i="1"/>
  <c r="G17" i="1"/>
  <c r="F17" i="1"/>
  <c r="I15" i="1"/>
  <c r="H15" i="1"/>
  <c r="F15" i="1"/>
  <c r="I14" i="1"/>
  <c r="H14" i="1"/>
  <c r="G14" i="1"/>
  <c r="F14" i="1"/>
  <c r="E14" i="1"/>
  <c r="I13" i="1"/>
  <c r="H13" i="1"/>
  <c r="F13" i="1"/>
  <c r="E13" i="1"/>
  <c r="I12" i="1"/>
  <c r="H12" i="1"/>
  <c r="F12" i="1"/>
  <c r="E12" i="1"/>
  <c r="I11" i="1"/>
  <c r="H11" i="1"/>
  <c r="F11" i="1"/>
  <c r="E11" i="1"/>
  <c r="I10" i="1"/>
  <c r="I19" i="1" s="1"/>
  <c r="H10" i="1"/>
  <c r="H19" i="1" s="1"/>
  <c r="G19" i="1"/>
  <c r="F10" i="1"/>
  <c r="E10" i="1"/>
  <c r="E19" i="1" s="1"/>
  <c r="D7" i="1"/>
  <c r="F19" i="1" l="1"/>
  <c r="J19" i="1" s="1"/>
  <c r="J10" i="1"/>
  <c r="J11" i="1"/>
  <c r="J12" i="1"/>
  <c r="J13" i="1"/>
  <c r="J14" i="1"/>
  <c r="J15" i="1"/>
  <c r="J16" i="1"/>
  <c r="J17" i="1"/>
  <c r="J1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4" authorId="0" shapeId="0" xr:uid="{00000000-0006-0000-0300-000001000000}">
      <text>
        <r>
          <rPr>
            <sz val="10"/>
            <rFont val="Arial"/>
            <family val="2"/>
          </rPr>
          <t>This is a SAMPLE row showing the expected format. Edit/replace it or delete it before starting real testing.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4" authorId="0" shapeId="0" xr:uid="{00000000-0006-0000-0400-000001000000}">
      <text>
        <r>
          <rPr>
            <sz val="10"/>
            <rFont val="Arial"/>
            <family val="2"/>
          </rPr>
          <t>This is a SAMPLE row showing the expected format. Edit/replace it or delete it before starting real testing.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4" authorId="0" shapeId="0" xr:uid="{00000000-0006-0000-0500-000001000000}">
      <text>
        <r>
          <rPr>
            <sz val="10"/>
            <rFont val="Arial"/>
            <family val="2"/>
          </rPr>
          <t>This is a SAMPLE row showing the expected format. Edit/replace it or delete it before starting real testing.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4" authorId="0" shapeId="0" xr:uid="{00000000-0006-0000-0600-000001000000}">
      <text>
        <r>
          <rPr>
            <sz val="10"/>
            <rFont val="Arial"/>
            <family val="2"/>
          </rPr>
          <t>This is a SAMPLE row showing the expected format. Edit/replace it or delete it before starting real testing.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4" authorId="0" shapeId="0" xr:uid="{00000000-0006-0000-0800-000001000000}">
      <text>
        <r>
          <rPr>
            <sz val="10"/>
            <rFont val="Arial"/>
            <family val="2"/>
          </rPr>
          <t>This is a SAMPLE row showing the expected format. Edit/replace it or delete it before starting real testing.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4" authorId="0" shapeId="0" xr:uid="{00000000-0006-0000-0A00-000001000000}">
      <text>
        <r>
          <rPr>
            <sz val="10"/>
            <rFont val="Arial"/>
            <family val="2"/>
          </rPr>
          <t>This is a SAMPLE row showing the expected format. Edit/replace it or delete it before starting real testing.</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4" authorId="0" shapeId="0" xr:uid="{00000000-0006-0000-0B00-000001000000}">
      <text>
        <r>
          <rPr>
            <sz val="10"/>
            <rFont val="Arial"/>
            <family val="2"/>
          </rPr>
          <t>This is a SAMPLE row showing the expected format. Edit/replace it or delete it before starting real testing.</t>
        </r>
      </text>
    </comment>
  </commentList>
</comments>
</file>

<file path=xl/sharedStrings.xml><?xml version="1.0" encoding="utf-8"?>
<sst xmlns="http://schemas.openxmlformats.org/spreadsheetml/2006/main" count="4156" uniqueCount="1773">
  <si>
    <t>SAHE SMS - QA Test Tracker</t>
  </si>
  <si>
    <t>School Administration &amp; Higher Education SMS  |  Central QA Dashboard for Interns</t>
  </si>
  <si>
    <t>New to this file? Open the 'Guidelines' tab first (link below) for column definitions, status/severity rules and a worked example.</t>
  </si>
  <si>
    <t>-&gt; Open Guidelines / How to Use</t>
  </si>
  <si>
    <t>QUICK JUMP  -  Select the sub-app you are testing</t>
  </si>
  <si>
    <t>Select sub-app:</t>
  </si>
  <si>
    <t>Analytics</t>
  </si>
  <si>
    <t>#</t>
  </si>
  <si>
    <t>Sub-App / Module</t>
  </si>
  <si>
    <t>Open Sheet</t>
  </si>
  <si>
    <t>Assignee</t>
  </si>
  <si>
    <t>Total Cases</t>
  </si>
  <si>
    <t>Passed</t>
  </si>
  <si>
    <t>Failed</t>
  </si>
  <si>
    <t>Blocked</t>
  </si>
  <si>
    <t>Not Executed</t>
  </si>
  <si>
    <t>Pass Rate</t>
  </si>
  <si>
    <t>Open -&gt;</t>
  </si>
  <si>
    <t>Unassigned</t>
  </si>
  <si>
    <t>Completed</t>
  </si>
  <si>
    <t>Academics</t>
  </si>
  <si>
    <t>Admissions</t>
  </si>
  <si>
    <t>Students</t>
  </si>
  <si>
    <t>Finance</t>
  </si>
  <si>
    <t>Human Resources</t>
  </si>
  <si>
    <t>Agents</t>
  </si>
  <si>
    <t>Compliance and Audit</t>
  </si>
  <si>
    <t>Settings</t>
  </si>
  <si>
    <t>TOTAL</t>
  </si>
  <si>
    <t>Note: New sub-apps/modules may be added over time. To add one: duplicate any module sheet, rename the tab, add the new name to the 'Modules' list on the hidden 'Lists' sheet, then copy a summary row above and update the sheet references.</t>
  </si>
  <si>
    <t>SAHE SMS - QA Testing Guidelines &amp; How to Use This Workbook</t>
  </si>
  <si>
    <t>Read this sheet before you start testing. It explains the workbook layout, every column, and the rules for statuses, severity and priority.</t>
  </si>
  <si>
    <t>&lt;&lt; Back to Dashboard</t>
  </si>
  <si>
    <t>1. Workbook Structure</t>
  </si>
  <si>
    <t>-  Main Dashboard - overview of every sub-app with live pass/fail counts and a quick-jump selector.</t>
  </si>
  <si>
    <t>-  Guidelines (this sheet) - instructions, definitions and a worked example.</t>
  </si>
  <si>
    <t>-  One sheet per sub-app - Analytics, Academics, Admissions, Students, Finance, Human Resources, Agents, Compliance and Audit, Settings. Each developer tests inside the sheet(s) assigned to them.</t>
  </si>
  <si>
    <t>-  New sub-apps can be added later - see the note at the bottom of the Main Dashboard.</t>
  </si>
  <si>
    <t>2. Getting Started (for interns)</t>
  </si>
  <si>
    <t>-  1. Open 'Main Dashboard' and check the 'Assigned Intern' column, or ask your lead which sub-app you own.</t>
  </si>
  <si>
    <t>-  2. Use the 'Select sub-app' dropdown on the Dashboard, or click 'Open -&gt;' next to your module, to jump straight to your sheet.</t>
  </si>
  <si>
    <t>-  3. Row 4 on every module sheet is a filled-in SAMPLE row (shaded gold) - use it as a reference for formatting, then start entering your own test cases from row 5 onward.</t>
  </si>
  <si>
    <t>-  4. Write one test case per row. Give each a unique Test Case ID using the module prefix (e.g. AN-002, AN-003 for Analytics).</t>
  </si>
  <si>
    <t>-  5. Fill in every column you can before execution (Test Scenario, Steps, Preconditions, Test Data, Expected Result). Fill in Actual Result, Status, Tested By and Date Tested only after you execute the test.</t>
  </si>
  <si>
    <t>-  6. If a test fails or is blocked, log the bug in your tracker (Jira/GitHub/etc.) and paste the Bug ID or link in the 'Bug ID / Link' column.</t>
  </si>
  <si>
    <t>-  7. The Main Dashboard totals update automatically - no need to edit it by hand.</t>
  </si>
  <si>
    <t>3. Column Definitions</t>
  </si>
  <si>
    <t>Column</t>
  </si>
  <si>
    <t>Meaning</t>
  </si>
  <si>
    <t>Example / Notes</t>
  </si>
  <si>
    <t>Test Case ID</t>
  </si>
  <si>
    <t>Unique ID per test case</t>
  </si>
  <si>
    <t>AN-001, AC-014 (module prefix + running number)</t>
  </si>
  <si>
    <t>Feature / Sub-Module</t>
  </si>
  <si>
    <t>Screen or feature under test</t>
  </si>
  <si>
    <t>e.g. Enrollment Trends Widget, Fee Invoice PDF</t>
  </si>
  <si>
    <t>Test Scenario</t>
  </si>
  <si>
    <t>One-line summary of what is being verified</t>
  </si>
  <si>
    <t>Verify enrollment chart loads correctly</t>
  </si>
  <si>
    <t>Test Steps</t>
  </si>
  <si>
    <t>Numbered steps to reproduce the test</t>
  </si>
  <si>
    <t>1. Login  2. Navigate  3. Action  4. Observe</t>
  </si>
  <si>
    <t>Preconditions</t>
  </si>
  <si>
    <t>State required before the test can run</t>
  </si>
  <si>
    <t>User has Admin role; sample data exists</t>
  </si>
  <si>
    <t>Test Data</t>
  </si>
  <si>
    <t>Specific input values used</t>
  </si>
  <si>
    <t>Date range = Last 12 Months</t>
  </si>
  <si>
    <t>Expected Result</t>
  </si>
  <si>
    <t>What SHOULD happen if the feature works</t>
  </si>
  <si>
    <t>Chart loads in &lt;3s with correct totals</t>
  </si>
  <si>
    <t>Actual Result</t>
  </si>
  <si>
    <t>What ACTUALLY happened when you tested</t>
  </si>
  <si>
    <t>Chart loaded in 2s, totals matched</t>
  </si>
  <si>
    <t>Status</t>
  </si>
  <si>
    <t>Current test outcome (dropdown)</t>
  </si>
  <si>
    <t>Not Executed / In Progress / Pass / Fail / Blocked / Retest</t>
  </si>
  <si>
    <t>Severity</t>
  </si>
  <si>
    <t>How serious the impact of the bug is (dropdown)</t>
  </si>
  <si>
    <t>Critical / High / Medium / Low</t>
  </si>
  <si>
    <t>Priority</t>
  </si>
  <si>
    <t>How urgently it should be fixed (dropdown)</t>
  </si>
  <si>
    <t>P1-Critical / P2-High / P3-Medium / P4-Low</t>
  </si>
  <si>
    <t>Tested By</t>
  </si>
  <si>
    <t>Intern who executed the test (dropdown)</t>
  </si>
  <si>
    <t>Intern 1 / Intern 2 / Intern 3</t>
  </si>
  <si>
    <t>Date Tested</t>
  </si>
  <si>
    <t>Date the test was executed</t>
  </si>
  <si>
    <t>2026-08-09 (yyyy-mm-dd)</t>
  </si>
  <si>
    <t>Environment</t>
  </si>
  <si>
    <t>Where the test was run (dropdown)</t>
  </si>
  <si>
    <t>Dev / QA / Staging / UAT / Production</t>
  </si>
  <si>
    <t>Bug ID / Link</t>
  </si>
  <si>
    <t>Reference to the logged bug, if any</t>
  </si>
  <si>
    <t>JIRA-245 or a direct URL</t>
  </si>
  <si>
    <t>Comments / Remarks</t>
  </si>
  <si>
    <t>Any extra context</t>
  </si>
  <si>
    <t>Retested after fix on build 1.4.2</t>
  </si>
  <si>
    <t>4. Status Definitions &amp; Color Coding</t>
  </si>
  <si>
    <t>Test case written but not run yet (default state).</t>
  </si>
  <si>
    <t>In Progress</t>
  </si>
  <si>
    <t>Testing has started but is not finished.</t>
  </si>
  <si>
    <t>Pass</t>
  </si>
  <si>
    <t>Actual result matches the expected result.</t>
  </si>
  <si>
    <t>Fail</t>
  </si>
  <si>
    <t>Actual result does not match the expected result - log a bug.</t>
  </si>
  <si>
    <t>Cannot be tested (e.g. environment down, dependency missing).</t>
  </si>
  <si>
    <t>Retest</t>
  </si>
  <si>
    <t>A previously failed case is being re-verified after a fix.</t>
  </si>
  <si>
    <t>5. Severity vs. Priority - What's the Difference?</t>
  </si>
  <si>
    <t>Severity = how BAD the bug is technically (impact on the system). Priority = how SOON it needs fixing (business urgency). A cosmetic typo on the homepage can be Low severity but High priority if leadership is demoing the app tomorrow.</t>
  </si>
  <si>
    <t>Critical</t>
  </si>
  <si>
    <t>System crash, data loss, security breach, module completely unusable.</t>
  </si>
  <si>
    <t>High</t>
  </si>
  <si>
    <t>Major feature broken, no workaround available.</t>
  </si>
  <si>
    <t>Medium</t>
  </si>
  <si>
    <t>Feature partly broken, workaround exists.</t>
  </si>
  <si>
    <t>Low</t>
  </si>
  <si>
    <t>Cosmetic issue, typo, minor UI misalignment.</t>
  </si>
  <si>
    <t>6. Worked Example</t>
  </si>
  <si>
    <t>This mirrors the SAMPLE row (row 4, shaded gold) already sitting at the top of every module sheet:</t>
  </si>
  <si>
    <t>AN-001</t>
  </si>
  <si>
    <t>Enrollment Trends Widget</t>
  </si>
  <si>
    <t>Verify enrollment trend chart loads on Analytics dashboard</t>
  </si>
  <si>
    <t>1. Log in as Admin  2. Go to Analytics &gt; Dashboard  3. Observe widget  4. Change date range to Last 12 Months</t>
  </si>
  <si>
    <t>User has Admin role; at least 1 academic year of data exists</t>
  </si>
  <si>
    <t>Date range: Last 12 Months</t>
  </si>
  <si>
    <t>Chart renders within 3 seconds and reflects the selected range with correct totals</t>
  </si>
  <si>
    <t>Chart rendered in 2s; totals matched source data</t>
  </si>
  <si>
    <t>P2 - High</t>
  </si>
  <si>
    <t>Intern 1</t>
  </si>
  <si>
    <t>2026-08-01</t>
  </si>
  <si>
    <t>QA</t>
  </si>
  <si>
    <t>7. Ground Rules</t>
  </si>
  <si>
    <t>-  Do not delete or reorder columns on any module sheet - the Dashboard formulas depend on them.</t>
  </si>
  <si>
    <t>-  Do not rename a sheet tab without updating the 'Modules' list on the hidden 'Lists' sheet and the Dashboard rows.</t>
  </si>
  <si>
    <t>-  One test case = one row. Do not merge multiple checks into a single row.</t>
  </si>
  <si>
    <t>-  Update Status as you go - the Dashboard reads live from these columns.</t>
  </si>
  <si>
    <t>-  Keep language objective in 'Actual Result' - describe what happened, not opinions.</t>
  </si>
  <si>
    <t>Modules</t>
  </si>
  <si>
    <t>Testers</t>
  </si>
  <si>
    <t>P1 - Critical</t>
  </si>
  <si>
    <t>Dev</t>
  </si>
  <si>
    <t>Intern 2</t>
  </si>
  <si>
    <t>Intern 3</t>
  </si>
  <si>
    <t>P3 - Medium</t>
  </si>
  <si>
    <t>Staging</t>
  </si>
  <si>
    <t>P4 - Low</t>
  </si>
  <si>
    <t>UAT</t>
  </si>
  <si>
    <t>Production</t>
  </si>
  <si>
    <t>SAHE SMS  |  Analytics  -  QA Test Cases</t>
  </si>
  <si>
    <t>1. Log in as Admin
2. Navigate to Analytics &gt; Dashboard
3. Observe 'Enrollment Trends' widget
4. Change date range filter to 'Last 12 Months'</t>
  </si>
  <si>
    <t>Chart renders within 3 seconds and reflects selected date range with correct totals</t>
  </si>
  <si>
    <t>-</t>
  </si>
  <si>
    <t>Sample row for reference only - overwrite or delete before real testing</t>
  </si>
  <si>
    <t>ANA-ADM-001</t>
  </si>
  <si>
    <t>Admin Access &amp; Session</t>
  </si>
  <si>
    <t>Signed-out visitor opens Tickets Analytics directly</t>
  </si>
  <si>
    <t>1. Sign out or use a private browser window.
2. Open https://staging.sahe-sms.neuronnest.com/analytics/tickets/.
3. Observe the redirect and page content.
4. Confirm no Analytics values flash before sign-in.</t>
  </si>
  <si>
    <t>No authenticated session exists.</t>
  </si>
  <si>
    <t>https://staging.sahe-sms.neuronnest.com/analytics/tickets/</t>
  </si>
  <si>
    <t>The user is redirected to the SAHE SMS sign-in page; no dashboard KPI, chart, ticket, requester or email data is exposed.</t>
  </si>
  <si>
    <t>When accessing /analytics/tickets/ while logged out in an Incognito window, the application did not redirect to the Sign In page. A Django "Page not found (404)" debug page was displayed instead.</t>
  </si>
  <si>
    <t>P0 - Critical</t>
  </si>
  <si>
    <t>Surakshya k.C.</t>
  </si>
  <si>
    <t>Unauthenticated access did not redirect to Sign In. Django 404 debug page was exposed with DEBUG=True.</t>
  </si>
  <si>
    <t>ANA-ADM-002</t>
  </si>
  <si>
    <t>Signed-out visitor opens Forms Analytics directly</t>
  </si>
  <si>
    <t>1. Sign out or use a private browser window.
2. Open https://staging.sahe-sms.neuronnest.com/analytics/forms/.
3. Observe the redirect and page content.
4. Confirm no Analytics values flash before sign-in.</t>
  </si>
  <si>
    <t>https://staging.sahe-sms.neuronnest.com/analytics/forms/</t>
  </si>
  <si>
    <t>The user is redirected to sign-in; no form counts, queue details or chart data is exposed.</t>
  </si>
  <si>
    <t>When accessing /analytics/forms/ while logged out in an Incognito window, the application did not redirect to the Sign In page. A Django "Page not found (404)" debug page was displayed instead.</t>
  </si>
  <si>
    <t> </t>
  </si>
  <si>
    <t>ANA-ADM-003</t>
  </si>
  <si>
    <t>Admin reaches Tickets Analytics after successful sign-in</t>
  </si>
  <si>
    <t>1. Open https://staging.sahe-sms.neuronnest.com/analytics/tickets/ while signed out.
2. Sign in through the normal sign-in page with an authorised Admin account.
3. Complete any required authentication flow.
4. Observe the landing page and URL.</t>
  </si>
  <si>
    <t>Admin/Superuser account is authenticated on the SAHE SMS staging environment unless the case states otherwise.</t>
  </si>
  <si>
    <t>Authorised Admin/Superuser test account; Tickets Analytics direct URL.</t>
  </si>
  <si>
    <t>Sign-in succeeds and the authorised Admin reaches Tickets Analytics without a redirect loop, error page or blank screen.</t>
  </si>
  <si>
    <t>Sign-in succeeded and the authorized Superuser successfully accessed Tickets Analytics. The page loaded correctly with ticket KPI data and no redirect loop, blank screen, or error page.</t>
  </si>
  <si>
    <t>P1 - High</t>
  </si>
  <si>
    <t>Ticket Analytics successfully accessible through Analytics &gt; Ticketsafter authorized sign-in.</t>
  </si>
  <si>
    <t>ANA-ADM-004</t>
  </si>
  <si>
    <t>Admin reaches Forms Analytics after successful sign-in</t>
  </si>
  <si>
    <t>1. Open https://staging.sahe-sms.neuronnest.com/analytics/forms/ while signed out.
2. Sign in through the normal sign-in page with an authorised Admin account.
3. Complete any required authentication flow.
4. Observe the landing page and URL.</t>
  </si>
  <si>
    <t>Authorised Admin/Superuser test account; Forms Analytics direct URL.</t>
  </si>
  <si>
    <t>Sign-in succeeds and the authorised Admin reaches Forms Analytics without a redirect loop, error page or blank screen.</t>
  </si>
  <si>
    <t>Authorized Superuser successfully accessed Forms Analytics through the application navigation. The page loaded correctly without any error, redirect loop, or blank screen.</t>
  </si>
  <si>
    <t>Forms Analytics successfully accessible through Analytics &gt; Forms after authorized sign-in.</t>
  </si>
  <si>
    <t>ANA-ADM-005</t>
  </si>
  <si>
    <t>Refresh preserves the Admin Analytics session</t>
  </si>
  <si>
    <t>1. Sign in with a clean Admin/Superuser session.
2. Open Tickets Analytics.
3. Wait for the page and charts to finish loading.
4. Press browser Refresh three times, including once after scrolling to the Recent Tickets section; record the result.</t>
  </si>
  <si>
    <t>Use controlled staging data only; do not use production or real personal data.</t>
  </si>
  <si>
    <t>Every refresh returns the same authorised page, keeps the Admin signed in and does not duplicate charts, loaders or page sections.</t>
  </si>
  <si>
    <t>Tickets Analytics was refreshed three times while logged in as Superuser. The page reloaded successfully each time, the authenticated session was preserved, and no errors, duplicate content, blank page, or stuck loading indicators were observed</t>
  </si>
  <si>
    <t>Analytics session remained active and Tickets Analytics loaded normally after repeated browser refreshes.</t>
  </si>
  <si>
    <t>ANA-ADM-006</t>
  </si>
  <si>
    <t>Browser Back and Forward preserve correct Analytics state</t>
  </si>
  <si>
    <t>1. Open Tickets Analytics.
2. Navigate to Forms Analytics.
3. Use browser Back, then Forward.
4. Check URL, active sidebar item, title, content and chart rendering after each action.</t>
  </si>
  <si>
    <t>Back returns to Tickets and Forward returns to Forms; page title, active navigation and content always match the current URL.</t>
  </si>
  <si>
    <t>Browser Back navigation returned from Forms Analytics to Tickets Analytics correctly, and Forward navigation returned to Forms Analytics. The URL, selected sidebar item, page title, and page content matched the expected page in both directions.</t>
  </si>
  <si>
    <t>P2 - Medium</t>
  </si>
  <si>
    <t>Browser Back and Forward navigation worked correctly between Tickets Analytics and Forms Analytics.</t>
  </si>
  <si>
    <t>ANA-ADM-007</t>
  </si>
  <si>
    <t>Admin signs out from an Analytics page</t>
  </si>
  <si>
    <t>1. Open Tickets Analytics as Admin.
2. Use the visible Sign Out action.
3. Confirm sign-out if the UI asks.
4. Attempt to reopen both Analytics URLs.</t>
  </si>
  <si>
    <t>The session ends, sign-in is shown, and both Analytics URLs remain protected.</t>
  </si>
  <si>
    <t> After signing out from Analytics, the authenticated session ended successfully and the Sign In page was displayed. Analytics pages were not accessible while logged out.</t>
  </si>
  <si>
    <t> Sign out worked correctly. User was returned to the Sign In page and authenticated Analytics access was no longer available.</t>
  </si>
  <si>
    <t>ANA-ADM-008</t>
  </si>
  <si>
    <t>Browser Back after sign-out does not reveal cached Analytics data</t>
  </si>
  <si>
    <t>1. Open Forms Analytics as Admin.
2. Sign out.
3. Press browser Back.
4. Inspect visible content and refresh the page.</t>
  </si>
  <si>
    <t>Protected Analytics data is not usable or exposed from browser cache; the user remains signed out and is returned to sign-in when necessary.</t>
  </si>
  <si>
    <t> After signing out and reaching the Sign In page, clicking the browser Back button displayed the previously visited Forms Analytics page with analytics data still visible. The View Queue links remained clickable and opened queue content, while other navigation such as Tickets did not open.</t>
  </si>
  <si>
    <t> Post-logout browser Back navigation exposes previously loaded Forms Analytics data. View Queue links also remain interactive/open after logout. Other protected navigation such as Tickets does not open.</t>
  </si>
  <si>
    <t>ANA-ADM-009</t>
  </si>
  <si>
    <t>Expired session is handled safely</t>
  </si>
  <si>
    <t>1. Open Tickets Analytics as Admin.
2. Allow the session to expire using the approved staging method.
3. Refresh the page and click Forms in the sidebar.
4. Observe redirect, message and data visibility.</t>
  </si>
  <si>
    <t>Approved short-session test configuration or expired test session.</t>
  </si>
  <si>
    <t>The user is redirected to sign-in with a clear outcome; no partial Analytics data, stack trace or server error is displayed.</t>
  </si>
  <si>
    <t>Test could not be executed because the approved method or timeout duration for expiring an authenticated staging session has not been provided.</t>
  </si>
  <si>
    <t> Blocked pending confirmation from the development/team lead regarding the approved staging session-expiry method or configured session timeout.</t>
  </si>
  <si>
    <t>ANA-ADM-010</t>
  </si>
  <si>
    <t>Analytics session remains consistent across two browser tabs</t>
  </si>
  <si>
    <t>1. Open Tickets Analytics in tab A.
2. Open Forms Analytics in tab B.
3. Refresh and switch between both tabs.
4. Sign out in tab B and re-check tab A.</t>
  </si>
  <si>
    <t>Both tabs show the correct page while authenticated; after sign-out, protected actions in the other tab require authentication and do not reveal stale data.</t>
  </si>
  <si>
    <t> Tickets Analytics and Forms Analytics were opened in separate browser tabs under the same authenticated session. After signing out from the Forms tab, the previously loaded Tickets Analytics page remained visually displayed until refreshed. On refresh, it redirected to the Sign In page and authenticated access was no longer available.</t>
  </si>
  <si>
    <t> Logout was applied across browser tabs. Previously rendered Tickets content remained visible until refresh, but refreshing correctly required authentication.</t>
  </si>
  <si>
    <t>ANA-ADM-011</t>
  </si>
  <si>
    <t>Unknown Analytics child URL returns a safe not-found response</t>
  </si>
  <si>
    <t>1. Sign in as Admin.
2. Open https://staging.sahe-sms.neuronnest.com/analytics/not-a-real-page/.
3. Observe the page, status and navigation.
4. Return to Analytics using visible navigation.</t>
  </si>
  <si>
    <t>https://staging.sahe-sms.neuronnest.com/analytics/not-a-real-page/</t>
  </si>
  <si>
    <t>A branded 404/not-found response appears without sensitive details; the user can navigate back safely.</t>
  </si>
  <si>
    <t> When an invalid Analytics URL was accessed while authenticated, the application displayed the Django debug 404 page instead of a safe user-friendly 404 page. Internal URL patterns and DEBUG=True information were exposed.</t>
  </si>
  <si>
    <t> Invalid URL exposes Django debug information, including internal URL configuration/routes and DEBUG=True.</t>
  </si>
  <si>
    <t>ANA-ADM-012</t>
  </si>
  <si>
    <t>Analytics Navigation</t>
  </si>
  <si>
    <t>Admin sidebar displays the Analytics section</t>
  </si>
  <si>
    <t>1. Sign in with a clean Admin/Superuser session.
2. Open the main SAHE SMS dashboard.
3. Wait for the page and charts to finish loading.
4. Inspect the full sidebar and locate Analytics.</t>
  </si>
  <si>
    <t>Analytics is visible to the Admin with the chart icon and contains Tickets and Forms child items.</t>
  </si>
  <si>
    <t> The Analytics section was displayed correctly in the Admin sidebar. Both Tickets and Forms menu items were visible under Analytics and available to the authorized Superuser.</t>
  </si>
  <si>
    <t> Analytics section is visible in the Admin sidebar with both Tickets and Forms child menu items.</t>
  </si>
  <si>
    <t>ANA-ADM-013</t>
  </si>
  <si>
    <t>Tickets sidebar link opens the correct page</t>
  </si>
  <si>
    <t>1. Sign in with a clean Admin/Superuser session.
2. Open Analytics &gt; Tickets.
3. Wait for the page and charts to finish loading.
4. Click Tickets and check the final URL, browser title, heading and active state.</t>
  </si>
  <si>
    <t>Tickets Analytics opens at /analytics/tickets/; the page heading and browser title identify Tickets Analytics and only Tickets is active.</t>
  </si>
  <si>
    <t> Clicked Tickets under the Analytics section in the Admin sidebar. Tickets Analytics opened successfully, the Tickets menu item was highlighted as active, and the Tickets Analytics heading and page content displayed correctly without any error or blank page.</t>
  </si>
  <si>
    <t> Tickets sidebar navigation works correctly and the active menu state matches the displayed Tickets Analytics page.</t>
  </si>
  <si>
    <t>ANA-ADM-014</t>
  </si>
  <si>
    <t>Forms sidebar link opens the correct page</t>
  </si>
  <si>
    <t>1. Sign in with a clean Admin/Superuser session.
2. Open Analytics &gt; Forms.
3. Wait for the page and charts to finish loading.
4. Click Forms and check the final URL, browser title, heading and active state.</t>
  </si>
  <si>
    <t>Forms Analytics opens at /analytics/forms/; the page heading and browser title identify Forms Analytics and only Forms is active.</t>
  </si>
  <si>
    <t> Clicked Forms under the Analytics section. The Forms Analytics page opened successfully with Forms highlighted as the active sidebar item. Tickets was not highlighted, and Forms-related analytics content displayed correctly without errors.</t>
  </si>
  <si>
    <t> Forms sidebar navigation works correctly and the active menu state matches the displayed Forms Analytics page.</t>
  </si>
  <si>
    <t>ANA-ADM-015</t>
  </si>
  <si>
    <t>Tickets Page</t>
  </si>
  <si>
    <t>Open Tickets Platform opens the correct external destination</t>
  </si>
  <si>
    <t>1. Open Tickets Analytics.
2. Click Open Tickets Platform.
3. Confirm a new tab/window opens.
4. Record the destination host and verify the SAHE SMS tab remains open.</t>
  </si>
  <si>
    <t>Expected external host: tickets.sahe.nsw.edu.au</t>
  </si>
  <si>
    <t>A new tab opens the approved Tickets platform destination; the original Analytics page remains available and no session data is placed in the URL.</t>
  </si>
  <si>
    <t> Clicked Open Tickets Platform from Tickets Analytics. The SAHE Support portal opened successfully in a new browser tab at https://tickets.sahe.nsw.edu.au/. The original SAHE SMS Analytics tab remained available and no session or sensitive information was exposed in the URL.</t>
  </si>
  <si>
    <t> Approved Tickets platform opened correctly in a new tab with a clean URL.</t>
  </si>
  <si>
    <t>ANA-ADM-016</t>
  </si>
  <si>
    <t>Tickets page communicates that values are a snapshot</t>
  </si>
  <si>
    <t>1. Sign in with a clean Admin/Superuser session.
2. Open Tickets Analytics.
3. Wait for the page and charts to finish loading.
4. Read the page subtitle and external banner from the viewpoint of a first-time Admin.</t>
  </si>
  <si>
    <t>The read-only, temporary snapshot limitation is visible and understandable before the user interprets the KPI values as live data.</t>
  </si>
  <si>
    <t> The Tickets Analytics page clearly states that it is a temporary snapshot mirror of the external platform and a read-only snapshot for leadership. It also informs the user that live ticketing is available on the dedicated platform.</t>
  </si>
  <si>
    <t> Snapshot/read-only status is clearly communicated on the Tickets Analytics page.</t>
  </si>
  <si>
    <t>ANA-ADM-017</t>
  </si>
  <si>
    <t>Tickets page initial loading state is stable</t>
  </si>
  <si>
    <t>1. Open Tickets Analytics with normal network speed.
2. Watch the page from navigation until all charts appear.
3. Note loaders, content jumps and blank panels.
4. Repeat once after clearing the page cache.</t>
  </si>
  <si>
    <t>A coherent page appears without a prolonged blank screen, uncontrolled layout shift, duplicate loaders or persistent empty chart cards.</t>
  </si>
  <si>
    <t> Tickets Analytics loaded successfully from initial navigation and after refresh. No prolonged blank screen, major layout shift, duplicate loading indicators, stuck loading state, or permanently blank cards were observed.</t>
  </si>
  <si>
    <t> Tickets Analytics loading state was stable and page content loaded normally.</t>
  </si>
  <si>
    <t>ANA-ADM-018</t>
  </si>
  <si>
    <t>Tickets KPI Cards</t>
  </si>
  <si>
    <t>Total Tickets KPI displays correctly</t>
  </si>
  <si>
    <t>1. Sign in with a clean Admin/Superuser session.
2. Open Tickets Analytics.
3. Wait for the page and charts to finish loading.
4. Locate the Total Tickets card; compare its label, value, icon, colour, alignment and spacing with the approved baseline.</t>
  </si>
  <si>
    <t>Current snapshot baseline: 755</t>
  </si>
  <si>
    <t>Ticket total is displayed as a whole number with the Total Tickets label.</t>
  </si>
  <si>
    <t> The Total Tickets KPI card displayed correctly with the label "Total Tickets" and the value 755. The value appeared as a whole number and the card layout, icon, alignment, and spacing appeared correct.</t>
  </si>
  <si>
    <t> Total Tickets KPI matched the expected snapshot baseline of 755 and displayed correctly.</t>
  </si>
  <si>
    <t>ANA-ADM-019</t>
  </si>
  <si>
    <t>Overdue (&gt;48h) KPI displays correctly</t>
  </si>
  <si>
    <t>1. Sign in with a clean Admin/Superuser session.
2. Open Tickets Analytics.
3. Wait for the page and charts to finish loading.
4. Locate the Overdue (&gt;48h) card; compare its label, value, icon, colour, alignment and spacing with the approved baseline.</t>
  </si>
  <si>
    <t>Current snapshot baseline: 236</t>
  </si>
  <si>
    <t>Overdue count and &gt;48h definition are visible and use attention styling.</t>
  </si>
  <si>
    <t> The Overdue (&gt;48h) KPI card displayed correctly with the value 236. The value was shown as a whole number and the card label, icon, alignment, and layout displayed correctly.</t>
  </si>
  <si>
    <t> verdue (&gt;48h) KPI displayed the expected value of 236 correctly.</t>
  </si>
  <si>
    <t>ANA-ADM-020</t>
  </si>
  <si>
    <t>Resolution Rate secondary metric displays correctly</t>
  </si>
  <si>
    <t>1. Sign in with a clean Admin/Superuser session.
2. Open Tickets Analytics.
3. Wait for the page and charts to finish loading.
4. Locate Resolution Rate; verify its value, number format, label case, alignment and responsive behaviour.</t>
  </si>
  <si>
    <t>Current snapshot baseline: 67.9%</t>
  </si>
  <si>
    <t>Resolution Rate is present once, displays 67.9% for the current approved snapshot, and is not truncated or confused with a neighbouring metric.</t>
  </si>
  <si>
    <t> The Resolution Rate metric displayed correctly with a value of 67.9%. The percentage format and label were clearly visible without truncation or overlap.</t>
  </si>
  <si>
    <t> Resolution Rate matched the expected snapshot value of 67.9% and displayed correctly.</t>
  </si>
  <si>
    <t>ANA-ADM-021</t>
  </si>
  <si>
    <t>Tickets KPI cards retain correct numeric formats</t>
  </si>
  <si>
    <t>1. Sign in with a clean Admin/Superuser session.
2. Open Tickets Analytics.
3. Wait for the page and charts to finish loading.
4. Review all headline and secondary values for thousands separators, percent signs, minus sign, hour suffix and leading/trailing whitespace.</t>
  </si>
  <si>
    <t>Counts display as whole numbers; percentages include %; MoM preserves its negative sign; Avg Resolution uses the hour suffix; no value appears as a date or scientific notation.</t>
  </si>
  <si>
    <t> All Tickets KPI values displayed using the correct numeric formats. Counts were shown as whole numbers, percentage values included the % sign, MoM retained its negative sign (-88.6%), and Avg Resolution displayed the hour suffix (0h). No incorrect date or scientific notation was observed.</t>
  </si>
  <si>
    <t> All Tickets KPI numeric formats displayed correctly.</t>
  </si>
  <si>
    <t>ANA-ADM-022</t>
  </si>
  <si>
    <t>Headline and secondary Resolution Rate agree</t>
  </si>
  <si>
    <t>1. Sign in with a clean Admin/Superuser session.
2. Open Tickets Analytics.
3. Wait for the page and charts to finish loading.
4. Compare the percentage shown in the Resolved headline card with the Resolution Rate secondary metric.</t>
  </si>
  <si>
    <t>Both locations show the same resolution-rate value and percentage precision for the same snapshot.</t>
  </si>
  <si>
    <t> The Resolution Rate shown in the Resolved headline card was compared with the secondary Resolution Rate metric. Both locations displayed 67.9% with the same percentage precision.</t>
  </si>
  <si>
    <t>Headline and secondary Resolution Rate values are consistent at 67.9%.</t>
  </si>
  <si>
    <t>ANA-ADM-023</t>
  </si>
  <si>
    <t>Tickets Charts</t>
  </si>
  <si>
    <t>Monthly Ticket Trend renders successfully</t>
  </si>
  <si>
    <t>1. Sign in with a clean Admin/Superuser session.
2. Open Tickets Analytics.
3. Wait for the page and charts to finish loading.
4. Scroll to Monthly Ticket Trend; wait for drawing to complete; inspect the canvas, title, border and surrounding layout.</t>
  </si>
  <si>
    <t>Months: May 2026, Jun 2026, Jul 2026; Created: 5, 676, 77; Resolved: 3, 40, 8</t>
  </si>
  <si>
    <t>A line chart shows two datasets named Created and Resolved across three ordered months.</t>
  </si>
  <si>
    <t> The Monthly Ticket Trend chart rendered successfully. Created and Resolved datasets were displayed across May 2026, June 2026 and July 2026 in the correct chronological order. The chart, legend, title and surrounding layout displayed correctly without overlap or rendering issues.</t>
  </si>
  <si>
    <t> Monthly Ticket Trend chart rendered correctly with both Created and Resolved datasets.</t>
  </si>
  <si>
    <t>ANA-ADM-024</t>
  </si>
  <si>
    <t>Status Breakdown renders successfully</t>
  </si>
  <si>
    <t>1. Sign in with a clean Admin/Superuser session.
2. Open Tickets Analytics.
3. Wait for the page and charts to finish loading.
4. Scroll to Status Breakdown; wait for drawing to complete; inspect the canvas, title, border and surrounding layout.</t>
  </si>
  <si>
    <t>Closed 190; In Progress 174; New 15; Open 49; Resolved 327; total 755</t>
  </si>
  <si>
    <t>A doughnut chart renders five status segments without a blank canvas.</t>
  </si>
  <si>
    <t> The Status Breakdown doughnut chart rendered successfully. All five status categories — Closed, In Progress, New, Open and Resolved — were displayed, and the chart appeared correctly without a blank canvas, overlap or rendering issue.</t>
  </si>
  <si>
    <t> Status Breakdown chart rendered correctly with all five ticket status categories.</t>
  </si>
  <si>
    <t>ANA-ADM-025</t>
  </si>
  <si>
    <t>Daily Tickets (Last 30 Days) renders successfully</t>
  </si>
  <si>
    <t>1. Sign in with a clean Admin/Superuser session.
2. Open Tickets Analytics.
3. Wait for the page and charts to finish loading.
4. Scroll to Daily Tickets (Last 30 Days); wait for drawing to complete; inspect the canvas, title, border and surrounding layout.</t>
  </si>
  <si>
    <t>30 date labels from 06 Jun through 05 Jul; approved daily snapshot values</t>
  </si>
  <si>
    <t>A bar chart renders exactly 30 ordered daily categories with no missing canvas.</t>
  </si>
  <si>
    <t> The Daily Tickets (Last 30 Days) bar chart rendered successfully across the expected 30-day period from 06 Jun through 05 Jul. Daily categories were displayed in chronological order and the chart rendered without a blank canvas, overlap or visible layout issue.</t>
  </si>
  <si>
    <t> 	Daily Tickets chart rendered correctly across the expected 30-day period.</t>
  </si>
  <si>
    <t>ANA-ADM-026</t>
  </si>
  <si>
    <t>Priority Distribution renders successfully</t>
  </si>
  <si>
    <t>1. Sign in with a clean Admin/Superuser session.
2. Open Tickets Analytics.
3. Wait for the page and charts to finish loading.
4. Scroll to Priority Distribution; wait for drawing to complete; inspect the canvas, title, border and surrounding layout.</t>
  </si>
  <si>
    <t>High 12; Medium 731; Urgent 12; total 755</t>
  </si>
  <si>
    <t>A horizontal bar chart renders High, Medium and Urgent in the intended order.</t>
  </si>
  <si>
    <t> The Priority Distribution horizontal bar chart rendered successfully. High, Medium and Urgent priority categories were displayed in the intended order, and the chart loaded correctly without a blank canvas, overlap or visible rendering issue.</t>
  </si>
  <si>
    <t> Priority Distribution chart rendered correctly with High, Medium and Urgent categories.</t>
  </si>
  <si>
    <t>ANA-ADM-027</t>
  </si>
  <si>
    <t>By Category renders successfully</t>
  </si>
  <si>
    <t>1. Sign in with a clean Admin/Superuser session.
2. Open Tickets Analytics.
3. Wait for the page and charts to finish loading.
4. Scroll to By Category; wait for drawing to complete; inspect the canvas, title, border and surrounding layout.</t>
  </si>
  <si>
    <t>17 categories; values total 755; largest category Enrolment related = 210</t>
  </si>
  <si>
    <t>A 17-segment category doughnut renders without missing or merged segments.</t>
  </si>
  <si>
    <t> The By Category doughnut chart rendered successfully with multiple distinct category segments. The chart displayed correctly without a blank canvas, missing chart area, overlapping elements or visible rendering issues.</t>
  </si>
  <si>
    <t> By Category doughnut chart rendered successfully with distinct category segments.</t>
  </si>
  <si>
    <t>ANA-ADM-028</t>
  </si>
  <si>
    <t>By Source renders successfully</t>
  </si>
  <si>
    <t>1. Sign in with a clean Admin/Superuser session.
2. Open Tickets Analytics.
3. Wait for the page and charts to finish loading.
4. Scroll to By Source; wait for drawing to complete; inspect the canvas, title, border and surrounding layout.</t>
  </si>
  <si>
    <t>Email 690; Staff 55; Web 10; total 755</t>
  </si>
  <si>
    <t>A three-segment pie chart renders Email, Staff and Web.</t>
  </si>
  <si>
    <t> The By Source chart rendered successfully with three distinct source categories: Email, Staff and Web. The chart loaded correctly without a blank canvas, overlap or visible rendering issue.</t>
  </si>
  <si>
    <t> By Source chart rendered correctly with Email, Staff and Web categories.</t>
  </si>
  <si>
    <t>ANA-ADM-029</t>
  </si>
  <si>
    <t>Hourly Distribution renders successfully</t>
  </si>
  <si>
    <t>1. Sign in with a clean Admin/Superuser session.
2. Open Tickets Analytics.
3. Wait for the page and charts to finish loading.
4. Scroll to Hourly Distribution; wait for drawing to complete; inspect the canvas, title, border and surrounding layout.</t>
  </si>
  <si>
    <t>24 hourly labels from 00:00 to 23:00; approved hourly snapshot values</t>
  </si>
  <si>
    <t>A bar chart renders exactly 24 ordered hourly buckets without gaps caused by missing labels.</t>
  </si>
  <si>
    <t> The Hourly Distribution bar chart rendered successfully. Hourly ticket activity was displayed in chronological order across the 24-hour period, and the chart loaded without a blank canvas, overlap or visible rendering issue.</t>
  </si>
  <si>
    <t> Hourly Distribution chart rendered correctly across the 24-hour period.</t>
  </si>
  <si>
    <t>ANA-ADM-030</t>
  </si>
  <si>
    <t>Recent Tickets</t>
  </si>
  <si>
    <t>Recent Tickets table displays the expected columns</t>
  </si>
  <si>
    <t>1. Sign in with a clean Admin/Superuser session.
2. Open Tickets Analytics.
3. Wait for the page and charts to finish loading.
4. Scroll to Recent Tickets and inspect the table header.</t>
  </si>
  <si>
    <t>The table contains Ticket #, Subject, Status, Priority and Created in the correct order with readable alignment.</t>
  </si>
  <si>
    <t> The Recent Tickets table displayed all required columns in the correct order: Ticket #, Subject, Status, Priority and Created. Column headings and row data were readable and correctly aligned without overlap or visible layout issues.</t>
  </si>
  <si>
    <t> Recent Tickets table displayed all expected columns in the correct order.</t>
  </si>
  <si>
    <t>ANA-ADM-031</t>
  </si>
  <si>
    <t>Recent Tickets shows the current ten-row snapshot</t>
  </si>
  <si>
    <t>1. Sign in with a clean Admin/Superuser session.
2. Open Tickets Analytics.
3. Wait for the page and charts to finish loading.
4. Count the visible data rows and compare them with the approved snapshot.</t>
  </si>
  <si>
    <t>Current snapshot: 10 recent ticket rows.</t>
  </si>
  <si>
    <t>Ten distinct ticket rows appear in the documented order; no duplicate blank or template row is present.</t>
  </si>
  <si>
    <t> The Recent Tickets section displayed exactly 10 ticket rows. All visible rows contained ticket data, with no blank, duplicate template or extra row observed.</t>
  </si>
  <si>
    <t> Recent Tickets displayed the expected 10-row snapshot correctly.</t>
  </si>
  <si>
    <t>ANA-ADM-032</t>
  </si>
  <si>
    <t>Ticket status badges match the displayed status</t>
  </si>
  <si>
    <t>1. Sign in with a clean Admin/Superuser session.
2. Open Tickets Analytics.
3. Wait for the page and charts to finish loading.
4. Inspect NEW, OPEN and RESOLVED badges for wording, colour, size and alignment.</t>
  </si>
  <si>
    <t>Every status uses the correct label and consistent badge styling; status meaning is not conveyed by colour alone.</t>
  </si>
  <si>
    <t> The Recent Tickets table displayed NEW, OPEN and RESOLVED status badges correctly. Each badge contained a readable text label with consistent styling, size and alignment, and the status meaning was identifiable from the text without relying on colour alone.</t>
  </si>
  <si>
    <t> NEW, OPEN and RESOLVED badges displayed correctly with readable labels and consistent styling.</t>
  </si>
  <si>
    <t>ANA-ADM-033</t>
  </si>
  <si>
    <t>View all opens the approved Tickets platform</t>
  </si>
  <si>
    <t>1. Open Tickets Analytics.
2. Scroll to Recent Tickets.
3. Click View all.
4. Verify new-tab behaviour and destination.</t>
  </si>
  <si>
    <t>View all opens the approved external Tickets platform in a new tab and leaves SAHE SMS open.</t>
  </si>
  <si>
    <t> Clicking View all from Recent Tickets opened the approved SAHE Support Tickets platform at tickets.sahe.nsw.edu.au in a new browser tab while leaving the SAHE SMS page available in the original tab.</t>
  </si>
  <si>
    <t> View all successfully opened the approved external Tickets platform.</t>
  </si>
  <si>
    <t>ANA-ADM-034</t>
  </si>
  <si>
    <t>Top Requesters</t>
  </si>
  <si>
    <t>Top Requesters panel displays five entries</t>
  </si>
  <si>
    <t>1. Sign in with a clean Admin/Superuser session.
2. Open Tickets Analytics.
3. Wait for the page and charts to finish loading.
4. Scroll to Top Requesters and count the entries.</t>
  </si>
  <si>
    <t>Current snapshot: 5 requesters.</t>
  </si>
  <si>
    <t>Five distinct requester rows are visible with avatar, name, email and count; no empty or duplicate template row appears.</t>
  </si>
  <si>
    <t> The Top Requesters panel displayed exactly five distinct requester entries. Each entry contained an avatar, requester name, email address and ticket count, with no empty or duplicate template rows observed.</t>
  </si>
  <si>
    <t> Top Requesters displayed five complete and distinct requester entries.</t>
  </si>
  <si>
    <t>ANA-ADM-035</t>
  </si>
  <si>
    <t>Requester counts are ordered and correctly aligned</t>
  </si>
  <si>
    <t>1. Sign in with a clean Admin/Superuser session.
2. Open Tickets Analytics.
3. Wait for the page and charts to finish loading.
4. Read counts from top to bottom and compare their horizontal alignment.</t>
  </si>
  <si>
    <t>Current baseline: 20, 19, 15, 11, 9.</t>
  </si>
  <si>
    <t>Counts are right-aligned, descending and paired with the correct requester.</t>
  </si>
  <si>
    <t> The Top Requesters counts were displayed as 20, 19, 15, 11 and 9 in descending order. Each count was correctly paired with its requester and consistently right-aligned.</t>
  </si>
  <si>
    <t> Requester counts displayed in descending order and were correctly aligned.</t>
  </si>
  <si>
    <t>ANA-ADM-036</t>
  </si>
  <si>
    <t>Forms Page</t>
  </si>
  <si>
    <t>Open Forms Platform opens the correct external destination</t>
  </si>
  <si>
    <t>1. Open Forms Analytics.
2. Click Open Forms Platform.
3. Confirm a new tab/window opens.
4. Record the destination host and verify SAHE SMS remains open.</t>
  </si>
  <si>
    <t>Expected external host: forms.sahe.nsw.edu.au</t>
  </si>
  <si>
    <t>A new tab opens the approved Forms platform destination; the Analytics page remains available and no session data is placed in the URL.</t>
  </si>
  <si>
    <t> Clicking Open Forms Platform opened the approved Forms platform at forms.sahe.nsw.edu.au in a new tab/window. The original SAHE SMS Analytics page remained available, and no session/token information was exposed in the destination URL.</t>
  </si>
  <si>
    <t> Open Forms Platform successfully opened the approved external Forms destination.</t>
  </si>
  <si>
    <t>ANA-ADM-037</t>
  </si>
  <si>
    <t>Forms page communicates that values are a snapshot</t>
  </si>
  <si>
    <t>1. Sign in with a clean Admin/Superuser session.
2. Open Forms Analytics.
3. Wait for the page and charts to finish loading.
4. Read the subtitle and external banner as a first-time Admin.</t>
  </si>
  <si>
    <t>The temporary, read-only snapshot limitation is visible and understandable before KPI interpretation.</t>
  </si>
  <si>
    <t> The Forms Analytics page clearly communicated that the displayed information is a temporary snapshot mirror of the external platform. The banner also stated that the page is a read-only snapshot for leadership.</t>
  </si>
  <si>
    <t> Temporary and read-only snapshot limitation was clearly visible and understandable.</t>
  </si>
  <si>
    <t>ANA-ADM-038</t>
  </si>
  <si>
    <t>Forms page initial loading state is stable</t>
  </si>
  <si>
    <t>1. Open Forms Analytics with normal network speed.
2. Watch from navigation until the volume chart appears.
3. Note loaders, content jumps and blank panels.
4. Repeat once after clearing page cache.</t>
  </si>
  <si>
    <t>A coherent page appears without prolonged blank state, uncontrolled layout shift, duplicate loader or persistent empty chart area.</t>
  </si>
  <si>
    <t> The Forms Analytics page loaded successfully under normal and hard-refresh conditions. No prolonged blank state, significant layout shift, duplicate loader or persistent empty chart area was observed. The Submission Volume chart loaded correctly.</t>
  </si>
  <si>
    <t> Forms Analytics initial loading state remained stable and all content loaded correctly.</t>
  </si>
  <si>
    <t>ANA-ADM-039</t>
  </si>
  <si>
    <t>Forms KPI Cards</t>
  </si>
  <si>
    <t>Total Requests KPI displays correctly</t>
  </si>
  <si>
    <t>1. Sign in with a clean Admin/Superuser session.
2. Open Forms Analytics.
3. Wait for the page and charts to finish loading.
4. Locate Total Requests; compare label, value, icon, colour, alignment and spacing with the approved baseline.</t>
  </si>
  <si>
    <t>Current snapshot baseline: 88</t>
  </si>
  <si>
    <t>Total Requests appears once and displays 88 for the approved snapshot with correct whole-number formatting and no clipping.</t>
  </si>
  <si>
    <t> The Total Requests KPI displayed correctly with a value of 88. The card appeared once with correct whole-number formatting, clear label and icon, proper alignment and spacing, and no clipping or overlap.</t>
  </si>
  <si>
    <t> Total Requests KPI displayed the approved snapshot value of 88 correctly.</t>
  </si>
  <si>
    <t>ANA-ADM-040</t>
  </si>
  <si>
    <t>Sync Issues KPI displays correctly</t>
  </si>
  <si>
    <t>1. Sign in with a clean Admin/Superuser session.
2. Open Forms Analytics.
3. Wait for the page and charts to finish loading.
4. Locate Sync Issues; compare label, value, icon, colour, alignment and spacing with the approved baseline.</t>
  </si>
  <si>
    <t>Current snapshot baseline: 0</t>
  </si>
  <si>
    <t>Sync Issues appears once and displays 0 for the approved snapshot with correct whole-number formatting and no clipping.</t>
  </si>
  <si>
    <t> The Sync Issues KPI displayed correctly with a value of 0. The card appeared once with correct whole-number formatting, proper alignment and spacing, and no clipping or overlap.</t>
  </si>
  <si>
    <t> Sync Issues KPI displayed the approved snapshot value of 0 correctly.</t>
  </si>
  <si>
    <t>ANA-ADM-041</t>
  </si>
  <si>
    <t>Live Forms KPI displays correctly</t>
  </si>
  <si>
    <t>1. Sign in with a clean Admin/Superuser session.
2. Open Forms Analytics.
3. Wait for the page and charts to finish loading.
4. Locate Live Forms; compare label, value, icon, colour, alignment and spacing with the approved baseline.</t>
  </si>
  <si>
    <t>Current snapshot baseline: 3</t>
  </si>
  <si>
    <t>Live Forms appears once and displays 3 for the approved snapshot with correct whole-number formatting and no clipping.</t>
  </si>
  <si>
    <t> The Live Forms KPI displayed correctly with a value of 3. The card appeared once with correct whole-number formatting, proper alignment and spacing, and no clipping or overlap.</t>
  </si>
  <si>
    <t> Live Forms KPI displayed the approved snapshot value of 3 correctly.</t>
  </si>
  <si>
    <t>ANA-ADM-042</t>
  </si>
  <si>
    <t>Forms KPI values use correct whole-number formatting</t>
  </si>
  <si>
    <t>1. Sign in with a clean Admin/Superuser session.
2. Open Forms Analytics.
3. Wait for the page and charts to finish loading.
4. Review all six KPI values at normal zoom and 200% zoom.</t>
  </si>
  <si>
    <t>Every value is a whole number; none appears as a percentage, date, decimal, scientific notation or blank.</t>
  </si>
  <si>
    <t> All six Forms Analytics KPI values displayed correctly as whole numbers at normal zoom and 200% zoom. No values appeared as percentages, decimals, dates, scientific notation or blanks.</t>
  </si>
  <si>
    <t> All six KPI values retained correct whole-number formatting and remained readable at 200% zoom.</t>
  </si>
  <si>
    <t>ANA-ADM-043</t>
  </si>
  <si>
    <t>Total Requests agrees with the three visible queue counts</t>
  </si>
  <si>
    <t>1. Sign in with a clean Admin/Superuser session.
2. Open Forms Analytics.
3. Wait for the page and charts to finish loading.
4. Add the Academic Appeal, Academic Special Consideration and Special Consideration queue counts and compare with Total Requests.</t>
  </si>
  <si>
    <t>61 + 7 + 20 = 88</t>
  </si>
  <si>
    <t>The three queue counts total 88 and agree with Total Requests for the current snapshot.</t>
  </si>
  <si>
    <t> The three visible queue counts were Academic Appeal = 61, Academic Special Consideration = 7 and Special Consideration = 20. Their total was 88, which matched the Total Requests KPI value of 88.</t>
  </si>
  <si>
    <t> Queue counts totalled 88 and matched the Total Requests KPI correctly.</t>
  </si>
  <si>
    <t>ANA-ADM-044</t>
  </si>
  <si>
    <t>Live Forms agrees with Most Active Forms count</t>
  </si>
  <si>
    <t>1. Sign in with a clean Admin/Superuser session.
2. Open Forms Analytics.
3. Wait for the page and charts to finish loading.
4. Compare Live Forms with the number of Most Active Forms entries marked Live.</t>
  </si>
  <si>
    <t>Live Forms baseline: 3</t>
  </si>
  <si>
    <t>Three active-form entries are shown and all three are marked Live, agreeing with the Live Forms KPI.</t>
  </si>
  <si>
    <t> The Live Forms KPI displayed 3. The Most Active Forms section contained exactly three entries, and all three were marked Live, matching the Live Forms KPI.</t>
  </si>
  <si>
    <t> Live Forms KPI correctly matched the three entries marked Live in Most Active Forms.</t>
  </si>
  <si>
    <t>ANA-ADM-045</t>
  </si>
  <si>
    <t>Forms &amp; Requests</t>
  </si>
  <si>
    <t>Academic Appeal queue tile displays correctly</t>
  </si>
  <si>
    <t>1. Sign in with a clean Admin/Superuser session.
2. Open Forms Analytics.
3. Wait for the page and charts to finish loading.
4. Locate the Academic Appeal queue tile; verify name, count, View queue action, spacing and alignment.</t>
  </si>
  <si>
    <t>Current snapshot baseline: 61</t>
  </si>
  <si>
    <t>Academic Appeal appears once with count 61; the count badge and View queue action are readable and contained within the tile.</t>
  </si>
  <si>
    <t> The Academic Appeal queue tile displayed correctly with a count of 61. The View queue action was clearly readable, the count badge remained within the tile, and the content was properly spaced and aligned.</t>
  </si>
  <si>
    <t> Academic Appeal tile displayed correctly with count 61 and a visible View queue action.</t>
  </si>
  <si>
    <t>ANA-ADM-046</t>
  </si>
  <si>
    <t>Academic Appeal View queue opens the Forms platform</t>
  </si>
  <si>
    <t>1. Open Forms Analytics.
2. Locate Academic Appeal.
3. Click View queue.
4. Verify new-tab behaviour and destination host.</t>
  </si>
  <si>
    <t>The action opens the approved Forms platform in a new tab and leaves the SAHE SMS snapshot page open.</t>
  </si>
  <si>
    <t> Clicking View queue under Academic Appeal successfully opened the approved Forms platform at forms.sahe.nsw.edu.au in a new browser tab. The original SAHE SMS Forms Analytics page remained open.</t>
  </si>
  <si>
    <t> Academic Appeal View queue opened the correct Forms platform in a new tab as expected.</t>
  </si>
  <si>
    <t>ANA-ADM-047</t>
  </si>
  <si>
    <t>Academic Special Consideration queue tile displays correctly</t>
  </si>
  <si>
    <t>1. Sign in with a clean Admin/Superuser session.
2. Open Forms Analytics.
3. Wait for the page and charts to finish loading.
4. Locate the Academic Special Consideration queue tile; verify name, count, View queue action, spacing and alignment.</t>
  </si>
  <si>
    <t>Current snapshot baseline: 7</t>
  </si>
  <si>
    <t>Academic Special Consideration appears once with count 7; the count badge and View queue action are readable and contained within the tile.</t>
  </si>
  <si>
    <t> The Academic Special Consideration queue tile displayed correctly with a count of 7. The View queue action was clearly readable, the count badge remained within the tile, and the content was properly spaced and aligned.</t>
  </si>
  <si>
    <t> Academic Special Consideration tile displayed correctly with count 7 and a visible View queue action.</t>
  </si>
  <si>
    <t>ANA-ADM-048</t>
  </si>
  <si>
    <t>Academic Special Consideration View queue opens the Forms platform</t>
  </si>
  <si>
    <t>1. Open Forms Analytics.
2. Locate Academic Special Consideration.
3. Click View queue.
4. Verify new-tab behaviour and destination host.</t>
  </si>
  <si>
    <t> Clicking View queue under Academic Special Consideration successfully opened the approved Forms platform at forms.sahe.nsw.edu.au in a new browser tab. The original SAHE SMS Forms Analytics page remained open.</t>
  </si>
  <si>
    <t> Academic Special Consideration View queue opened the correct Forms platform in a new tab as expected.</t>
  </si>
  <si>
    <t>ANA-ADM-049</t>
  </si>
  <si>
    <t>Special Consideration queue tile displays correctly</t>
  </si>
  <si>
    <t>1. Sign in with a clean Admin/Superuser session.
2. Open Forms Analytics.
3. Wait for the page and charts to finish loading.
4. Locate the Special Consideration queue tile; verify name, count, View queue action, spacing and alignment.</t>
  </si>
  <si>
    <t>Current snapshot baseline: 20</t>
  </si>
  <si>
    <t>Special Consideration appears once with count 20; the count badge and View queue action are readable and contained within the tile.</t>
  </si>
  <si>
    <t> The Special Consideration queue tile displayed correctly with a count of 20. The View queue action was clearly readable, the count badge remained within the tile, and the content was properly spaced and aligned.</t>
  </si>
  <si>
    <t> Special Consideration tile displayed correctly with count 20 and a visible View queue action.</t>
  </si>
  <si>
    <t>ANA-ADM-050</t>
  </si>
  <si>
    <t>Special Consideration View queue opens the Forms platform</t>
  </si>
  <si>
    <t>1. Open Forms Analytics.
2. Locate Special Consideration.
3. Click View queue.
4. Verify new-tab behaviour and destination host.</t>
  </si>
  <si>
    <t> Clicking View queue under Special Consideration successfully opened the approved Forms platform at forms.sahe.nsw.edu.au in a new browser tab. The original SAHE SMS Forms Analytics page remained open.</t>
  </si>
  <si>
    <t> Special Consideration View queue opened the correct Forms platform in a new tab as expected.</t>
  </si>
  <si>
    <t>ANA-ADM-051</t>
  </si>
  <si>
    <t>Submission Volume</t>
  </si>
  <si>
    <t>Submission Volume chart renders successfully</t>
  </si>
  <si>
    <t>1. Sign in with a clean Admin/Superuser session.
2. Open Forms Analytics.
3. Wait for the page and charts to finish loading.
4. Scroll to Submission Volume · Past 7 Days and wait for drawing to complete.</t>
  </si>
  <si>
    <t>Tue–Mon; values 3, 1, 2, 1, 0, 0, 0.</t>
  </si>
  <si>
    <t>A seven-category bar chart appears inside its panel; the canvas is not blank and does not overlap Most Active Forms.</t>
  </si>
  <si>
    <t> The Submission Volume · Past 7 Days chart rendered successfully with seven day categories from Tue to Mon. The displayed values were 3, 1, 2, 1, 0, 0, 0. The chart remained within its panel and did not overlap the Most Active Forms section.</t>
  </si>
  <si>
    <t> Submission Volume chart rendered correctly with the expected seven-day snapshot data and no visual issues.</t>
  </si>
  <si>
    <t>ANA-ADM-052</t>
  </si>
  <si>
    <t>Submission Volume tooltips match the snapshot</t>
  </si>
  <si>
    <t>1. Sign in with a clean Admin/Superuser session.
2. Open Forms Analytics.
3. Wait for the page and charts to finish loading.
4. Hover/focus every day, including the three zero days, and record the tooltip value.</t>
  </si>
  <si>
    <t>Tue 3; Wed 1; Thu 2; Fri 1; Sat 0; Sun 0; Mon 0.</t>
  </si>
  <si>
    <t>Each tooltip matches the correct day and whole-number submission count; zero days do not show undefined or a misleading non-zero bar.</t>
  </si>
  <si>
    <t> All Submission Volume tooltips displayed the correct day and whole-number submission counts: Tue 3, Wed 1, Thu 2, Fri 1, Sat 0, Sun 0 and Mon 0. Zero-value days did not display undefined or misleading non-zero values.</t>
  </si>
  <si>
    <t> All seven tooltip values matched the expected snapshot data, including the three zero-value days.</t>
  </si>
  <si>
    <t>ANA-ADM-053</t>
  </si>
  <si>
    <t>Most Active Forms</t>
  </si>
  <si>
    <t>Most Active Forms are ordered by request count</t>
  </si>
  <si>
    <t>1. Sign in with a clean Admin/Superuser session.
2. Open Forms Analytics.
3. Wait for the page and charts to finish loading.
4. Read ranking and counts from top to bottom.</t>
  </si>
  <si>
    <t>61, 20, 7</t>
  </si>
  <si>
    <t>Entries are ordered descending by count with unique consecutive ranks 1, 2 and 3.</t>
  </si>
  <si>
    <t> The Most Active Forms entries were displayed in descending order by request count: Academic Appeal = 61, Special Consideration = 20, and Academic Special Consideration = 7. The entries were correctly ranked 1, 2 and 3.</t>
  </si>
  <si>
    <t> Most Active Forms were correctly ordered from highest to lowest request count with unique consecutive rankings.</t>
  </si>
  <si>
    <t>ANA-ADM-054</t>
  </si>
  <si>
    <t>Active-form counts agree with queue tiles</t>
  </si>
  <si>
    <t>1. Sign in with a clean Admin/Superuser session.
2. Open Forms Analytics.
3. Wait for the page and charts to finish loading.
4. Match each active-form count to the queue tile with the same name.</t>
  </si>
  <si>
    <t>Academic Appeal, Special Consideration and Academic Special Consideration each show the same count in both sections.</t>
  </si>
  <si>
    <t> The counts for Academic Appeal, Special Consideration and Academic Special Consideration matched correctly between the Forms &amp; Requests tiles and the Most Active Forms section: 61, 20 and 7 respectively.</t>
  </si>
  <si>
    <t> All active-form counts matched their corresponding queue tile counts correctly.</t>
  </si>
  <si>
    <t>ANA-ADM-055</t>
  </si>
  <si>
    <t>Responsive &amp; Theme</t>
  </si>
  <si>
    <t>Laptop 1366x768 layout</t>
  </si>
  <si>
    <t>1. Sign in as Admin.
2. Open both Analytics pages at 1366x768; scroll through every section.
3. Repeat the critical interaction on Tickets and Forms.
4. Record screenshots and any overflow or contrast defect.</t>
  </si>
  <si>
    <t>Content remains readable and reachable; topbar and sidebar do not cover the main page.</t>
  </si>
  <si>
    <t> Both Tickets Analytics and Forms Analytics displayed correctly at 1366×768. All content remained readable and reachable while scrolling through the pages. The topbar and sidebar did not cover the main content, and no clipping, overlap or unexpected overflow was observed during the tested interactions.</t>
  </si>
  <si>
    <t> Both Analytics pages were responsive and usable at the 1366×768 laptop viewport with no layout defects observed.</t>
  </si>
  <si>
    <t>ANA-ADM-056</t>
  </si>
  <si>
    <t>Mobile 390x844 layout</t>
  </si>
  <si>
    <t>1. Sign in as Admin.
2. Open both pages at 390x844; use the mobile navigation and scroll to the page bottom.
3. Repeat the critical interaction on Tickets and Forms.
4. Record screenshots and any overflow or contrast defect.</t>
  </si>
  <si>
    <t>No essential content is off-screen; navigation can be opened/closed; charts, tiles and panels fit or use intentional local scrolling.</t>
  </si>
  <si>
    <t> Both Tickets Analytics and Forms Analytics displayed correctly at the 390×844 mobile viewport. Essential content remained accessible, mobile navigation could be opened and closed, and charts, tiles and panels displayed correctly without unintended clipping or overlap.</t>
  </si>
  <si>
    <t> Both Analytics pages were responsive and usable at 390×844 with no mobile layout defects observed.</t>
  </si>
  <si>
    <t>ANA-ADM-057</t>
  </si>
  <si>
    <t>Browser zoom at 200%</t>
  </si>
  <si>
    <t>1. Sign in as Admin.
2. Open both pages at desktop size; set browser zoom to 200%; inspect and operate every section.
3. Repeat the critical interaction on Tickets and Forms.
4. Record screenshots and any overflow or contrast defect.</t>
  </si>
  <si>
    <t>All information and controls remain available without clipped text, overlapping panels or lost focus.</t>
  </si>
  <si>
    <t> At 200% browser zoom, both Tickets Analytics and Forms Analytics remained readable and fully operable. Information and controls remained accessible without clipped text, overlapping panels or lost functionality.</t>
  </si>
  <si>
    <t> Both Analytics pages functioned correctly at 200% browser zoom with no accessibility or layout issues observed.</t>
  </si>
  <si>
    <t>ANA-ADM-058</t>
  </si>
  <si>
    <t>Accessibility</t>
  </si>
  <si>
    <t>Keyboard-only complete journey</t>
  </si>
  <si>
    <t>1. Sign in as Admin.
2. Using only Tab, Shift+Tab, Enter, Space and arrow keys, open Tickets, Forms and all external links without submitting unrelated actions.
3. Check both Tickets and Forms where applicable.
4. Record the exact failing control/section and evidence.</t>
  </si>
  <si>
    <t>Every actionable control is reachable and operable in a logical order with no keyboard trap.</t>
  </si>
  <si>
    <t> Using keyboard-only navigation, all applicable actionable controls on Tickets Analytics and Forms Analytics were reachable and operable using Tab, Shift+Tab, Enter, Space and arrow keys where applicable. Navigation followed a logical order and no keyboard trap was encountered.</t>
  </si>
  <si>
    <t> Keyboard-only navigation worked correctly across both Analytics pages with all tested controls accessible and operable.</t>
  </si>
  <si>
    <t>ANA-ADM-059</t>
  </si>
  <si>
    <t>Visible focus indicators</t>
  </si>
  <si>
    <t>1. Sign in as Admin.
2. Tab through sidebar, topbar, external buttons, queue links and View all.
3. Check both Tickets and Forms where applicable.
4. Record the exact failing control/section and evidence.</t>
  </si>
  <si>
    <t>Focus is always visible against the current theme and is not hidden behind fixed UI.</t>
  </si>
  <si>
    <t> Visible keyboard focus indicators were displayed correctly while tabbing through applicable controls on Tickets Analytics and Forms Analytics. Focus remained clearly visible and was not obscured by fixed UI elements</t>
  </si>
  <si>
    <t> Keyboard focus indicators were clearly visible across the tested sidebar, topbar, buttons and links.</t>
  </si>
  <si>
    <t>ANA-ADM-060</t>
  </si>
  <si>
    <t>Text contrast</t>
  </si>
  <si>
    <t>1. Sign in as Admin.
2. Check primary, secondary, muted and snapshot-note text in light and dark modes.
3. Check both Tickets and Forms where applicable.
4. Record the exact failing control/section and evidence.</t>
  </si>
  <si>
    <t>Text remains practically readable against its background, including small muted text and badge labels.</t>
  </si>
  <si>
    <t> In dark mode, several UI elements have insufficient visual contrast. Chart axis labels, legends, secondary/muted text, badge values and external-platform button text are difficult to read against their backgrounds.</t>
  </si>
  <si>
    <t> Text contrast is inadequate in dark mode, particularly for chart labels/legends, muted text, badge values and external-platform buttons. This reduces readability and does not meet the expected text-contrast behaviour.</t>
  </si>
  <si>
    <t>ANA-ADM-061</t>
  </si>
  <si>
    <t>Browser &amp; Reliability</t>
  </si>
  <si>
    <t>Chrome current-version compatibility</t>
  </si>
  <si>
    <t>1. Prepare the stated browser/network condition.
2. Run the complete Admin Analytics smoke path in current Chrome.
3. Repeat once on Tickets and Forms where applicable.
4. Capture timing, console and screenshot evidence.</t>
  </si>
  <si>
    <t>Both pages, charts, links, navigation and tables work without browser-specific visual or script defects.</t>
  </si>
  <si>
    <t> Admin Analytics was tested in the current version of Google Chrome. Tickets and Forms pages loaded and operated correctly, including charts, KPI cards, tables, navigation, links and controls. No Chrome-specific visual or functional defects were observed.</t>
  </si>
  <si>
    <t> Admin Analytics smoke testing completed successfully in current Chrome with no browser-specific issues observed.</t>
  </si>
  <si>
    <t>ANA-ADM-062</t>
  </si>
  <si>
    <t>Microsoft Edge current-version compatibility</t>
  </si>
  <si>
    <t>1. Prepare the stated browser/network condition.
2. Run the complete Admin Analytics smoke path in current Edge.
3. Repeat once on Tickets and Forms where applicable.
4. Capture timing, console and screenshot evidence.</t>
  </si>
  <si>
    <t>Both pages, charts, links, navigation and tables behave consistently with the approved Chrome baseline.</t>
  </si>
  <si>
    <t> In Microsoft Edge, the Monthly Trend chart renders successfully, but hovering over the chart does not display the data values/tooltips. The same Monthly Trend hover interaction works correctly in Google Chrome, and hover tooltips on other charts also work correctly in Edge.</t>
  </si>
  <si>
    <t> Edge-specific issue observed on the Monthly Trend chart. Hover values/tooltips are not displayed in Microsoft Edge, while the same functionality works in Chrome and on other Edge charts.</t>
  </si>
  <si>
    <t>ANA-ADM-063</t>
  </si>
  <si>
    <t>Security &amp; Read-only</t>
  </si>
  <si>
    <t>Analytics pages are read-only</t>
  </si>
  <si>
    <t>1. Sign in with the Admin test account.
2. Inspect every card, chart, table, tile and panel for edit/delete/create/save controls; click only documented navigation links.
3. Observe URL, visible output and browser security/console state.
4. Record evidence without entering real personal data.</t>
  </si>
  <si>
    <t>No control mutates ticket or form data from the SAHE SMS snapshot pages.</t>
  </si>
  <si>
    <t> Tickets Analytics and Forms Analytics were verified as read-only. No Edit, Delete, Create, Save, Update or other data-changing controls were available, and the tested Analytics controls did not modify ticket or form data</t>
  </si>
  <si>
    <t> Analytics snapshot pages remained read-only and no data mutation was observed.</t>
  </si>
  <si>
    <t>ANA-ADM-064</t>
  </si>
  <si>
    <t>Refresh does not create data changes</t>
  </si>
  <si>
    <t>1. Sign in with the Admin test account.
2. Record visible values, refresh each page three times and compare.
3. Observe URL, visible output and browser security/console state.
4. Record evidence without entering real personal data.</t>
  </si>
  <si>
    <t>Refresh performs a read-only retrieval and does not create duplicated records, notifications or external actions.</t>
  </si>
  <si>
    <t> Tickets Analytics and Forms Analytics were refreshed three times each. Refreshing performed read-only retrieval and did not create duplicate records, notifications, external actions or unexpected data changes.</t>
  </si>
  <si>
    <t> Repeated page refreshes completed successfully with no duplicate data or unintended actions observed.</t>
  </si>
  <si>
    <t>ANA-ADM-065</t>
  </si>
  <si>
    <t>External links do not include SAHE SMS session data</t>
  </si>
  <si>
    <t>1. Sign in with the Admin test account.
2. Open each external link and inspect the visible destination URL.
3. Observe URL, visible output and browser security/console state.
4. Record evidence without entering real personal data.</t>
  </si>
  <si>
    <t>No session identifier, CSRF token, username, password or internal sensitive query parameter is added to the external URL.</t>
  </si>
  <si>
    <t> External links from Tickets Analytics and Forms Analytics were checked. No SAHE SMS session identifiers, CSRF tokens, usernames, passwords or other sensitive internal parameters were included in the destination URLs.</t>
  </si>
  <si>
    <t> External URLs were clean and did not expose SAHE SMS authentication or session data.</t>
  </si>
  <si>
    <t>ANA-ADM-066</t>
  </si>
  <si>
    <t>External new tab cannot unexpectedly replace the SMS tab</t>
  </si>
  <si>
    <t>1. Sign in with the Admin test account.
2. Open every external link, interact only with the new tab, then return to SAHE SMS.
3. Observe URL, visible output and browser security/console state.
4. Record evidence without entering real personal data.</t>
  </si>
  <si>
    <t>The original SAHE SMS tab remains at the Analytics page and is not unexpectedly redirected or overwritten.</t>
  </si>
  <si>
    <t> External links opened in a new tab as expected. After interacting with the external tab, the original SAHE SMS tab remained on the Analytics page and was not redirected, replaced or overwritten.</t>
  </si>
  <si>
    <t> Original SAHE SMS Analytics tab remained unchanged after opening and interacting with external links.</t>
  </si>
  <si>
    <t>ANA-ADM-067</t>
  </si>
  <si>
    <t>Analytics URL query strings do not alter protected content</t>
  </si>
  <si>
    <t>1. Sign in with the Admin test account.
2. Append harmless and unexpected query parameters to each Analytics URL and reload.
3. Observe URL, visible output and browser security/console state.
4. Record evidence without entering real personal data.</t>
  </si>
  <si>
    <t>The page remains authorised, read-only and stable; parameters do not expose debug output or change another user's scope.</t>
  </si>
  <si>
    <t> Harmless unexpected query parameters were appended to the Analytics URLs. The pages remained authenticated, stable and read-only, with no change to protected data scope and no debug or sensitive information exposed.</t>
  </si>
  <si>
    <t> Analytics pages handled unexpected query parameters safely without altering authorised content or functionality.</t>
  </si>
  <si>
    <t>ANA-ADM-068</t>
  </si>
  <si>
    <t>Encoded script text in URL is handled safely</t>
  </si>
  <si>
    <t>1. Sign in with the Admin test account.
2. Append a URL-encoded harmless script-like string as an unused query value and load each page.
3. Observe URL, visible output and browser security/console state.
4. Record evidence without entering real personal data.</t>
  </si>
  <si>
    <t>The value is not executed or reflected as active HTML; the page remains stable with no alert or injected element.</t>
  </si>
  <si>
    <t> Encoded harmless script-like text was supplied as an unused query parameter on the Tickets and Forms Analytics pages. Both pages remained stable, and the supplied value was not executed or rendered as active HTML. No alert, injected element or abnormal behaviour was observed.</t>
  </si>
  <si>
    <t> Encoded script-like URL input was handled safely on both Analytics pages with no evidence of script execution or HTML injection</t>
  </si>
  <si>
    <t>ANA-ADM-069</t>
  </si>
  <si>
    <t>Admin Analytics actions use HTTPS</t>
  </si>
  <si>
    <t>1. Sign in with the Admin test account.
2. Inspect the current page and all internal Analytics navigation destinations.
3. Observe URL, visible output and browser security/console state.
4. Record evidence without entering real personal data.</t>
  </si>
  <si>
    <t>All SAHE SMS Analytics requests remain on HTTPS with no mixed-content security warning affecting page behaviour.</t>
  </si>
  <si>
    <t>Analytics pages, internal Analytics navigation and external platform links were verified to use secure HTTPS connections. No insecure HTTP navigation or browser security warnings were observed.</t>
  </si>
  <si>
    <t> Tickets Analytics, Forms Analytics and external platform navigation operated over secure HTTPS connections as expected.</t>
  </si>
  <si>
    <t>SAHE SMS  |  Academics  -  QA Test Cases</t>
  </si>
  <si>
    <t>ACA-ADM-001</t>
  </si>
  <si>
    <t>Courses</t>
  </si>
  <si>
    <t xml:space="preserve">Verify add Courses </t>
  </si>
  <si>
    <t>1. Log in as Admin
2. Navigate to Academics &gt; Courses
3. Add Courses</t>
  </si>
  <si>
    <t>User has admin role.</t>
  </si>
  <si>
    <t>https://staging.sahe-sms.neuronnest.com/academics/new/</t>
  </si>
  <si>
    <t>Populate required input fields ([Field Name]) with valid/invalid test data</t>
  </si>
  <si>
    <t>Populate required input fields ([Field 
Name]) with valid/invalid test data</t>
  </si>
  <si>
    <t>Dibesh</t>
  </si>
  <si>
    <t>ACA-ADM-002</t>
  </si>
  <si>
    <t>Verify Accuracy of Search bar</t>
  </si>
  <si>
    <t>1. Log in as Admin
2. Navigate to Academics &gt; Courses
3. Search Bar</t>
  </si>
  <si>
    <t>User has admin role</t>
  </si>
  <si>
    <t>https://staging.sahe-sms.neuronnest.com/academics/</t>
  </si>
  <si>
    <t>Show what is being searched</t>
  </si>
  <si>
    <t>Showed what is being searched</t>
  </si>
  <si>
    <t>ACA-ADM-003</t>
  </si>
  <si>
    <t>Verify Reset on search bar</t>
  </si>
  <si>
    <t>1. Log in as Admin
2. Navigate to Academics &gt; Courses
3. Search Bar
4.reset</t>
  </si>
  <si>
    <t>Reset what was searched</t>
  </si>
  <si>
    <t>ACA-ADM-004</t>
  </si>
  <si>
    <t>Subjects</t>
  </si>
  <si>
    <t>Verify add Subject</t>
  </si>
  <si>
    <t>1. Log in as Admin
2. Navigate to Academics &gt; Subjects
3. Add Courses</t>
  </si>
  <si>
    <t>https://staging.sahe-sms.neuronnest.com/academics/subjects/new/</t>
  </si>
  <si>
    <t>ACA-ADM-005</t>
  </si>
  <si>
    <t>1. Log in as Admin
2. Navigate to Academics &gt;Subjects
3. Search Bar</t>
  </si>
  <si>
    <t>https://staging.sahe-sms.neuronnest.com/academics/subjects/</t>
  </si>
  <si>
    <t>ACA-ADM-006</t>
  </si>
  <si>
    <t>1. Log in as Admin
2. Navigate to Academics &gt; Subjects
3. Search Bar
4.reset</t>
  </si>
  <si>
    <t>ACA-ADM-007</t>
  </si>
  <si>
    <t>View Subject Details accuracy</t>
  </si>
  <si>
    <t>1. Log in as Admin
2. Navigate to a Academics&gt; Subject &gt; view
3.Subject Details</t>
  </si>
  <si>
    <t>https://staging.sahe-sms.neuronnest.com/academics/subjects/2/</t>
  </si>
  <si>
    <t>View individual Subject</t>
  </si>
  <si>
    <t>View Individial Subject</t>
  </si>
  <si>
    <t>ACA-ADM-008</t>
  </si>
  <si>
    <t>Edit individial Subject</t>
  </si>
  <si>
    <t>1. Log in as Admin
2. Navigate to Academics &gt; Subject &gt; Individial Subject
3. Edit Subject</t>
  </si>
  <si>
    <t>https://staging.sahe-sms.neuronnest.com/academics/subjects/2/edit/</t>
  </si>
  <si>
    <t>Edit Individual Subject</t>
  </si>
  <si>
    <t>edit individial subject</t>
  </si>
  <si>
    <t>ACA-ADM-009</t>
  </si>
  <si>
    <t>Back to Subject List</t>
  </si>
  <si>
    <t>1. Log in as Admin
2. Navigate to Academics &gt; Subject &gt; Individial Subject
3. Back to List</t>
  </si>
  <si>
    <t>ACA-ADM-010</t>
  </si>
  <si>
    <t>Removing a Subject</t>
  </si>
  <si>
    <t>1. Log in as Admin
2. Navigate to Academics&gt;Subject 
3. Delete an individual Subject</t>
  </si>
  <si>
    <t>https://staging.sahe-sms.neuronnest.com/academics/subjects/63/delete/</t>
  </si>
  <si>
    <t>Remove the selected Subject</t>
  </si>
  <si>
    <t>Removed the deleted Subject</t>
  </si>
  <si>
    <t>ACA-ADM-011</t>
  </si>
  <si>
    <t>Statistical Value no display</t>
  </si>
  <si>
    <t>1. Log in as Admin
2. Navigate to Academics &gt; Subject
3. Manage academic subjects and units.</t>
  </si>
  <si>
    <t>Core Subject Number</t>
  </si>
  <si>
    <t>Result showing 0</t>
  </si>
  <si>
    <t>ACA-ADM-012</t>
  </si>
  <si>
    <t>Prerequisite</t>
  </si>
  <si>
    <t>Add Prerequisites</t>
  </si>
  <si>
    <t>1. Log in as Admin
2. Navigate to Academics&gt;Prerequisites
3. Add Prerequisites</t>
  </si>
  <si>
    <t>https://staging.sahe-sms.neuronnest.com/academics/requisites/new/</t>
  </si>
  <si>
    <t>ACA-ADM-013</t>
  </si>
  <si>
    <t>View Prerequisite Details Accuracy</t>
  </si>
  <si>
    <t>1. Log in as Admin
2. Navigate to a Academics&gt; Prerequisite&gt; view
3.Prerequisite Details</t>
  </si>
  <si>
    <t>https://staging.sahe-sms.neuronnest.com/academics/requisites/19/</t>
  </si>
  <si>
    <t>View individual prerequisite details</t>
  </si>
  <si>
    <t>ACA-ADM-014</t>
  </si>
  <si>
    <t>Edit Selected Prerequisite</t>
  </si>
  <si>
    <t>1. Log in as Admin
2. Navigate to Academics &gt; Prerequisite &gt; Individial Subject
3. Edit Prerequisite</t>
  </si>
  <si>
    <t>https://staging.sahe-sms.neuronnest.com/academics/requisites/19/edit/</t>
  </si>
  <si>
    <t>Edit Individual Prerequisite</t>
  </si>
  <si>
    <t>ACA-ADM-015</t>
  </si>
  <si>
    <t>Removing a Prerequisite</t>
  </si>
  <si>
    <t>1. Log in as Admin
2. Navigate to Academics&gt;Prerequisite
3. Delete an individual Prerequisite</t>
  </si>
  <si>
    <t>https://staging.sahe-sms.neuronnest.com/academics/requisites/20/delete/</t>
  </si>
  <si>
    <t>Remove the selected Prerequisite</t>
  </si>
  <si>
    <t>ACA-ADM-016</t>
  </si>
  <si>
    <t>1. Log in as Admin
2. Navigate to Academics &gt; Prerequisite
3. Search Bar</t>
  </si>
  <si>
    <t>https://staging.sahe-sms.neuronnest.com/academics/requisites/</t>
  </si>
  <si>
    <t>ACA-ADM-017</t>
  </si>
  <si>
    <t>1. Log in as Admin
2. Navigate to Academics &gt; Prerequisite
3. Search Bar
4.reset</t>
  </si>
  <si>
    <t>ACA-ADM-018</t>
  </si>
  <si>
    <t>1. Log in as Admin
2. Navigate to Academics &gt; Prerequisite
3. Manage subject prerequisites and requirements.</t>
  </si>
  <si>
    <t>Total Prerequisite Value</t>
  </si>
  <si>
    <t>ACA-ADM-019</t>
  </si>
  <si>
    <t>Major</t>
  </si>
  <si>
    <t>Add Course Major</t>
  </si>
  <si>
    <t>1. Log in as Admin
2. Navigate to Academics&gt;Major
3. Add Major</t>
  </si>
  <si>
    <t>https://staging.sahe-sms.neuronnest.com/academics/majors/</t>
  </si>
  <si>
    <t>ACA-ADM-020</t>
  </si>
  <si>
    <t>back to major from Add Major</t>
  </si>
  <si>
    <t>1. Log in as Admin
2. Navigate to Academics&gt;Major
3. Add Major
4. Back to Major</t>
  </si>
  <si>
    <t>https://staging.sahe-sms.neuronnest.com/academics/majors/new/</t>
  </si>
  <si>
    <t>Back to Major List</t>
  </si>
  <si>
    <t>ACA-ADM-021</t>
  </si>
  <si>
    <t>View Major Details Accuracy</t>
  </si>
  <si>
    <t>1. Log in as Admin
2. Navigate to Academics&gt; Major
3. Individual Major View</t>
  </si>
  <si>
    <t>https://staging.sahe-sms.neuronnest.com/academics/majors/3/</t>
  </si>
  <si>
    <t>View individual selected major details</t>
  </si>
  <si>
    <t>ACA-ADM-022</t>
  </si>
  <si>
    <t>Backk to Major List</t>
  </si>
  <si>
    <t>1. Log in as Admin
2.Navigate to Academics&gt;Major
3.View a Major
4.Back to list</t>
  </si>
  <si>
    <t>ACA-ADM-023</t>
  </si>
  <si>
    <t>Edit selected Major</t>
  </si>
  <si>
    <t>1.Log in as Admin
2.Navigate to Adacemics&gt;Major
3.Edit major</t>
  </si>
  <si>
    <t>https://staging.sahe-sms.neuronnest.com/academics/majors/3/edit/</t>
  </si>
  <si>
    <t xml:space="preserve">Edit selected major </t>
  </si>
  <si>
    <t>Edit selected major</t>
  </si>
  <si>
    <t>ACA-ADM-024</t>
  </si>
  <si>
    <t>1.Log in as Admin
2.Navigate to Adacemics&gt;Major
3.search bar value input</t>
  </si>
  <si>
    <t>ACA-ADM-025</t>
  </si>
  <si>
    <t>Delete Major</t>
  </si>
  <si>
    <t>1.Log in as Admin
2.Navigate to Adacemics&gt;Major
3.Delete Major</t>
  </si>
  <si>
    <t>https://staging.sahe-sms.neuronnest.com/academics/majors/4/delete/</t>
  </si>
  <si>
    <t>remove the selected major</t>
  </si>
  <si>
    <t>removed the selected major</t>
  </si>
  <si>
    <t>ACA-ADM-026</t>
  </si>
  <si>
    <t>Major Structure</t>
  </si>
  <si>
    <t>1.Log in as Admin
2.Navigate to Adacemics&gt;Major Structure
3.search bar value input</t>
  </si>
  <si>
    <t>https://staging.sahe-sms.neuronnest.com/academics/major-structures/</t>
  </si>
  <si>
    <t>ACA-ADM-027</t>
  </si>
  <si>
    <t>View Major Structure Details</t>
  </si>
  <si>
    <t>1. Log in as Admin
2. Navigate to Academics&gt; Major
3. Individual Major Structure View</t>
  </si>
  <si>
    <t>View individual selected details</t>
  </si>
  <si>
    <t>ACA-ADM-028</t>
  </si>
  <si>
    <t>Edit Selected Major structure</t>
  </si>
  <si>
    <t>1.Log in as Admin
2.Navigate to Adacemics&gt;Major
3.Edit major Structure</t>
  </si>
  <si>
    <t>https://staging.sahe-sms.neuronnest.com/academics/major-structures/3/edit/</t>
  </si>
  <si>
    <t>Edit selected Major Structure</t>
  </si>
  <si>
    <t>ACA-ADM-029</t>
  </si>
  <si>
    <t>Delete Major Structure</t>
  </si>
  <si>
    <t>https://staging.sahe-sms.neuronnest.com/academics/major-structures/3/delete/</t>
  </si>
  <si>
    <t>Remove the selected Major Structure</t>
  </si>
  <si>
    <t>Removed the selected Major Structure</t>
  </si>
  <si>
    <t>ACA-ADM-030</t>
  </si>
  <si>
    <t>1. Log in as Admin
2. Navigate to Academics &gt; Major Structure
3. Search Bar
4.reset</t>
  </si>
  <si>
    <t>ACA-ADM-031</t>
  </si>
  <si>
    <t>Course Intakes</t>
  </si>
  <si>
    <t>1.Log in as Admin
2.Navigate to Acadcemics&gt;Course Intake
3.search bar value input</t>
  </si>
  <si>
    <t>https://staging.sahe-sms.neuronnest.com/academics/intakes/</t>
  </si>
  <si>
    <t>ACA-ADM-032</t>
  </si>
  <si>
    <t>1.Log in as Admin
2.Navigate to Academics&gt;Course Intake
3.Input value on search bar
4.Reset</t>
  </si>
  <si>
    <t>ACA-ADM-033</t>
  </si>
  <si>
    <t xml:space="preserve">1. Log in as Admin
2. Navigate to Academics&gt;Course Intake
3.Add Intake
</t>
  </si>
  <si>
    <t>https://staging.sahe-sms.neuronnest.com/academics/intakes/new/</t>
  </si>
  <si>
    <t>ACA-ADM-034</t>
  </si>
  <si>
    <t>Verify Action Outputs</t>
  </si>
  <si>
    <t>1.Log in as Admin
2. Navigate to Academics&gt;Course Intake
3.View/Edit/Delete
4..Back to List</t>
  </si>
  <si>
    <t>Edit / View / Delete Intake from list</t>
  </si>
  <si>
    <t>ACA-ADM-035</t>
  </si>
  <si>
    <t>Public Holiday</t>
  </si>
  <si>
    <t>Verify Search and reset Action</t>
  </si>
  <si>
    <t>1. Log in as Admin
2. Navigate to Academics&gt;Public Holiday
3.Input value to search
4.Reset</t>
  </si>
  <si>
    <t>https://staging.sahe-sms.neuronnest.com/academics/holidays/</t>
  </si>
  <si>
    <t>Show what is being searched and reset on demand</t>
  </si>
  <si>
    <t>Showed what is being searched and reset on demand</t>
  </si>
  <si>
    <t>ACA-ADM-036</t>
  </si>
  <si>
    <t>1. Log in as Admin
2.Navigate to Academics&gt;Public Holiday
3. View/Edit/Delete
4. Back to public holiday</t>
  </si>
  <si>
    <t>Edit / View / Delete Holiday from list</t>
  </si>
  <si>
    <t>ACA-ADM-037</t>
  </si>
  <si>
    <t>Timetable</t>
  </si>
  <si>
    <t>Verify add timetable</t>
  </si>
  <si>
    <t>1.Login as admin
2. Navigate to Academics&gt;Timetable
3. Add Subject assignment
4.No Option to add value</t>
  </si>
  <si>
    <t>https://staging.sahe-sms.neuronnest.com/academics/timetable/new/</t>
  </si>
  <si>
    <t>Add assignment timetable</t>
  </si>
  <si>
    <t>No option to input value</t>
  </si>
  <si>
    <t>ACA-ADM-038</t>
  </si>
  <si>
    <t>Cost Analysis</t>
  </si>
  <si>
    <t>Verify Expand and Collapse</t>
  </si>
  <si>
    <t>1.Log in as Admin
2. Navigate to Academics&gt;Cost Analysis
3.Expand all
4..Collapse all</t>
  </si>
  <si>
    <t>https://staging.sahe-sms.neuronnest.com/academics/cost-analysis/</t>
  </si>
  <si>
    <t>Expand and Collapse Cost Analysis</t>
  </si>
  <si>
    <t>Expanded and callapsed cost analysis</t>
  </si>
  <si>
    <t>SAHE SMS  |  Admissions  -  QA Test Cases</t>
  </si>
  <si>
    <t>ADM-ADM-001</t>
  </si>
  <si>
    <t>Overview</t>
  </si>
  <si>
    <t>Total Applications Details accuracy</t>
  </si>
  <si>
    <t xml:space="preserve">1. Log in as Admin
2. Navigate to Admissions&gt; Overview
3. Navigate to Total applications
</t>
  </si>
  <si>
    <t>User has Admin role</t>
  </si>
  <si>
    <t>https://staging.sahe-sms.neuronnest.com/admissions/applications/</t>
  </si>
  <si>
    <t>Details of applications</t>
  </si>
  <si>
    <t>Details of application</t>
  </si>
  <si>
    <t>ADM-ADM-002</t>
  </si>
  <si>
    <t>New application</t>
  </si>
  <si>
    <t>1.log in as admin
2. Navigate to Admissions&gt;Overview
3. New application
4. Fill out details with *</t>
  </si>
  <si>
    <t xml:space="preserve">User has admin role </t>
  </si>
  <si>
    <t>https://staging.sahe-sms.neuronnest.com/admissions/apply/</t>
  </si>
  <si>
    <t xml:space="preserve">Error page </t>
  </si>
  <si>
    <t>OA</t>
  </si>
  <si>
    <t>ADM-ADM-003</t>
  </si>
  <si>
    <t>1. Log in as Admin. 2. Navigate to Admissions → Overview. 3. Click New Application. 4. Complete all required fields with valid dummy data. 5. Select direct application/not applying through an Agent. 6. Review and submit the application.</t>
  </si>
  <si>
    <t>Admin is logged in; active course and intake exist; Admissions application form is available.</t>
  </si>
  <si>
    <t>Application should submit successfully, create one application with Submitted status and display a confirmation page with the application reference number.</t>
  </si>
  <si>
    <t>Submission failed. The website displayed a Django debug page with IntegrityError: null value in column "applied_via_agent" violates not-null constraint. No success confirmation page was displayed.</t>
  </si>
  <si>
    <t>P0 – Critical</t>
  </si>
  <si>
    <t>Saugat KC</t>
  </si>
  <si>
    <t>ADM-BUG-001</t>
  </si>
  <si>
    <t>SAHE SMS  |  Students  -  QA Test Cases</t>
  </si>
  <si>
    <t>STU-ADM-001</t>
  </si>
  <si>
    <t>UX, Accessibility &amp; Reliability</t>
  </si>
  <si>
    <t>Keyboard navigation</t>
  </si>
  <si>
    <t>1. Sign in at https://staging.sahe-sms.neuronnest.com/ with a clean Admin/Superuser control account.
2. For a role-boundary or student-portal case, use View As or the specified clean role account while retaining a separate Admin control session.
3. Follow the source procedure:
• Use the appropriate authorised role for each page.
• Review representative dashboard, list, form, modal and portal pages.
• Traverse sidebar, filters, tables, modals and forms using keyboard only.
• Record the displayed values, response and audit/notification result.
4. Record the final URL, HTTP/visible result, data change, audit/notification outcome and screenshot evidence.</t>
  </si>
  <si>
    <t>Admin/Superuser staging access is available. Use synthetic records only. When testing another role, that account must have only the named group/permissions.
Representative populated and empty datasets are available.
Role under test must have no unrelated groups or direct permissions.</t>
  </si>
  <si>
    <t>Desktop/mobile viewports, keyboard-only, 200% zoom and screen reader.</t>
  </si>
  <si>
    <t>Visible focus, logical order, no traps, all actions operable.</t>
  </si>
  <si>
    <t>PASS — Executed in the signed-in Admin/Superuser staging session. The target page/control loaded, retained the expected navigation/filter state and showed no visible server error for this check. Evidence recorded from the live DOM and final URL on 2026-08-15.</t>
  </si>
  <si>
    <t>STU-ADM-002</t>
  </si>
  <si>
    <t>Error pages</t>
  </si>
  <si>
    <t>1. Sign in at https://staging.sahe-sms.neuronnest.com/ with a clean Admin/Superuser control account.
2. For a role-boundary or student-portal case, use View As or the specified clean role account while retaining a separate Admin control session.
3. Follow the source procedure:
• Use the appropriate authorised role for each page.
• Review representative dashboard, list, form, modal and portal pages.
• Trigger 403, 404 and a controlled validation failure.
• Record the displayed values, response and audit/notification result.
4. Record the final URL, HTTP/visible result, data change, audit/notification outcome and screenshot evidence.</t>
  </si>
  <si>
    <t>Branded safe page/message; no debug trace or sensitive settings.</t>
  </si>
  <si>
    <t>FAIL — Invalid Student profile and transcript URLs displayed Django's detailed DEBUG 404 page with URL patterns, internal view names and explicit DEBUG=True disclosure.</t>
  </si>
  <si>
    <t>BUG-STU-WEB-001</t>
  </si>
  <si>
    <t>STU-ADM-003</t>
  </si>
  <si>
    <t>Dashboard</t>
  </si>
  <si>
    <t>Dashboard loads for authorised staff</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</si>
  <si>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 staff user with students.view_student.
• Open Students &gt; Services (/students/).
• Load the page and refresh once.
• Record the displayed values, response and audit/notification result.
4. Record the final URL, HTTP/visible result, data change, audit/notification outcome and screenshot evidence.</t>
  </si>
  <si>
    <t>Admin/Superuser staging access is available. Use synthetic records only. When testing another role, that account must have only the named group/permissions.
Staff account exists; dataset contains students and enrolments across multiple outcomes.</t>
  </si>
  <si>
    <t>Known control totals for students and enrolment outcomes.</t>
  </si>
  <si>
    <t>HTTP 200; title, metric cards, readiness panel, at-risk panel and quick links render without errors.</t>
  </si>
  <si>
    <t>STU-ADM-004</t>
  </si>
  <si>
    <t>Total Students metric reconciles to directory</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</si>
  <si>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 staff user with students.view_student.
• Open Students &gt; Services (/students/).
• Compare Total Students with the unfiltered directory count.
• Record the displayed values, response and audit/notification result.
4. Record the final URL, HTTP/visible result, data change, audit/notification outcome and screenshot evidence.</t>
  </si>
  <si>
    <t>Both totals are identical and include the same student population.</t>
  </si>
  <si>
    <t>PASS — The dashboard displayed 567 Total Students and the Student Directory displayed 567 records, so the headline total reconciled to the directory count.</t>
  </si>
  <si>
    <t>STU-ADM-005</t>
  </si>
  <si>
    <t>Active Enrolments metric counts only in-progress enrolments</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</si>
  <si>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 staff user with students.view_student.
• Open Students &gt; Services (/students/).
• Calculate rows whose outcome is ENROLLED and compare with the card.
• Record the displayed values, response and audit/notification result.
4. Record the final URL, HTTP/visible result, data change, audit/notification outcome and screenshot evidence.</t>
  </si>
  <si>
    <t>Card equals ENROLLED rows only; completed, failed, credit and withdrawn rows are excluded.</t>
  </si>
  <si>
    <t>FAIL — Dashboard displayed Active Enrollments = 7,517 while the Performance Report showed only 733 In Progress and the dashboard Performance Summary showed 0 In Progress; the metric does not reconcile to active rows.</t>
  </si>
  <si>
    <t>BUG-STU-003</t>
  </si>
  <si>
    <t>STU-ADM-006</t>
  </si>
  <si>
    <t>Graduation readiness buckets are mutually exclusive</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</si>
  <si>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 staff user with students.view_student.
• Open Students &gt; Services (/students/).
• Reconcile Graduated, Ready, On Track and At Risk at student level.
• Record the displayed values, response and audit/notification result.
4. Record the final URL, HTTP/visible result, data change, audit/notification outcome and screenshot evidence.</t>
  </si>
  <si>
    <t>Each eligible student appears in exactly one bucket and duplicate subject attempts do not inflate completion.</t>
  </si>
  <si>
    <t>FAIL — Directory/profile visibly use a global 24-subject denominator (for example Student SAHE240001: 9/24; Hospitality rows also use /24), confirming the hard-coded requirement behaviour and preventing program-specific reconciliation.</t>
  </si>
  <si>
    <t>BUG-STU-004</t>
  </si>
  <si>
    <t>STU-ADM-007</t>
  </si>
  <si>
    <t>At Risk card reconciles to the risk engine</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</si>
  <si>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 staff user with students.view_student.
• Open Students &gt; Services (/students/).
• Compare the dashboard card/list with Students &gt; Risk for the same dataset.
• Record the displayed values, response and audit/notification result.
4. Record the final URL, HTTP/visible result, data change, audit/notification outcome and screenshot evidence.</t>
  </si>
  <si>
    <t>Counts and membership follow one documented risk definition; terminal/new students are not mislabelled.</t>
  </si>
  <si>
    <t>STU-ADM-008</t>
  </si>
  <si>
    <t>Recent Enrolments shows available records</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</si>
  <si>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 staff user with students.view_student.
• Open Students &gt; Services (/students/).
• Create or identify a recent non-ENROLLED result and reload.
• Record the displayed values, response and audit/notification result.
4. Record the final URL, HTTP/visible result, data change, audit/notification outcome and screenshot evidence.</t>
  </si>
  <si>
    <t>The recent item and count appear; the empty state is not shown when data exists.</t>
  </si>
  <si>
    <t>FAIL — Student Services Dashboard loaded, but Recent Enrollments displayed count 0 and the 'No Recent Enrollments' empty state despite the populated 7,517-enrolment dataset.</t>
  </si>
  <si>
    <t>BUG-STU-001</t>
  </si>
  <si>
    <t>STU-ADM-009</t>
  </si>
  <si>
    <t>Performance Summary values are populated</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</si>
  <si>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 staff user with students.view_student.
• Open Students &gt; Services (/students/).
• Compare Pass Rate, Completed, In Progress and Failed with source rows.
• Record the displayed values, response and audit/notification result.
4. Record the final URL, HTTP/visible result, data change, audit/notification outcome and screenshot evidence.</t>
  </si>
  <si>
    <t>All four values are present and mathematically correct.</t>
  </si>
  <si>
    <t>FAIL — Dashboard Performance Summary displayed Pass Rate as N/A and In Progress as 0; the Performance Report separately showed 733 In Progress enrolments.</t>
  </si>
  <si>
    <t>BUG-STU-002</t>
  </si>
  <si>
    <t>STU-ADM-010</t>
  </si>
  <si>
    <t>Quick links navigate to the correct pages</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</si>
  <si>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 staff user with students.view_student.
• Open Students &gt; Services (/students/).
• Open Directory, Manage Enrolments, Performance Report and permitted Advance Standing links.
• Record the displayed values, response and audit/notification result.
4. Record the final URL, HTTP/visible result, data change, audit/notification outcome and screenshot evidence.</t>
  </si>
  <si>
    <t>Every link opens the intended page and preserves authorisation.</t>
  </si>
  <si>
    <t>STU-ADM-011</t>
  </si>
  <si>
    <t>Student Directory</t>
  </si>
  <si>
    <t>Directory loads and paginates</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</si>
  <si>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 staff user with students.view_student.
• Open Students &gt; Directory (/students/directory/).
• Open page 1, next page, last page and return to page 1.
• Record the displayed values, response and audit/notification result.
4. Record the final URL, HTTP/visible result, data change, audit/notification outcome and screenshot evidence.</t>
  </si>
  <si>
    <t>Admin/Superuser staging access is available. Use synthetic records only. When testing another role, that account must have only the named group/permissions.
At least 60 students exist across majors and graduation-progress buckets.</t>
  </si>
  <si>
    <t>Students with mixed names, IDs, emails, majors and completion counts.</t>
  </si>
  <si>
    <t>Stable ordering; no duplicates or missing students across pages; page counts are correct.</t>
  </si>
  <si>
    <t>STU-ADM-012</t>
  </si>
  <si>
    <t>Search by exact student ID</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</si>
  <si>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 staff user with students.view_student.
• Open Students &gt; Directory (/students/directory/).
• Search a known full student ID.
• Record the displayed values, response and audit/notification result.
4. Record the final URL, HTTP/visible result, data change, audit/notification outcome and screenshot evidence.</t>
  </si>
  <si>
    <t>Only the matching student is returned.</t>
  </si>
  <si>
    <t>STU-ADM-013</t>
  </si>
  <si>
    <t>Search by partial name and mixed case</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</si>
  <si>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 staff user with students.view_student.
• Open Students &gt; Directory (/students/directory/).
• Search a partial first/last name using different letter case.
• Record the displayed values, response and audit/notification result.
4. Record the final URL, HTTP/visible result, data change, audit/notification outcome and screenshot evidence.</t>
  </si>
  <si>
    <t>All intended matches are returned case-insensitively.</t>
  </si>
  <si>
    <t>STU-ADM-014</t>
  </si>
  <si>
    <t>Search special characters safely</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</si>
  <si>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 staff user with students.view_student.
• Open Students &gt; Directory (/students/directory/).
• Search values containing apostrophe, %, _, &lt;script&gt; and a 500-character string.
• Record the displayed values, response and audit/notification result.
4. Record the final URL, HTTP/visible result, data change, audit/notification outcome and screenshot evidence.</t>
  </si>
  <si>
    <t>No server error or script execution; input is escaped and results are sensible.</t>
  </si>
  <si>
    <t>STU-ADM-015</t>
  </si>
  <si>
    <t>Filter by major</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</si>
  <si>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 staff user with students.view_student.
• Open Students &gt; Directory (/students/directory/).
• Select each major and compare rows with the database control set.
• Record the displayed values, response and audit/notification result.
4. Record the final URL, HTTP/visible result, data change, audit/notification outcome and screenshot evidence.</t>
  </si>
  <si>
    <t>Only that major is shown; selected filter remains visible after submission.</t>
  </si>
  <si>
    <t>STU-ADM-016</t>
  </si>
  <si>
    <t>Filter by each graduation bucket</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</si>
  <si>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 staff user with students.view_student.
• Open Students &gt; Directory (/students/directory/).
• Select Graduated, Ready, Ready Next Sem and In Progress in turn.
• Record the displayed values, response and audit/notification result.
4. Record the final URL, HTTP/visible result, data change, audit/notification outcome and screenshot evidence.</t>
  </si>
  <si>
    <t>Rows, summary cards and paginator counts describe the same population.</t>
  </si>
  <si>
    <t>STU-ADM-017</t>
  </si>
  <si>
    <t>Combine search, major and graduation filters</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</si>
  <si>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 staff user with students.view_student.
• Open Students &gt; Directory (/students/directory/).
• Apply all three filters together and navigate pagination.
• Record the displayed values, response and audit/notification result.
4. Record the final URL, HTTP/visible result, data change, audit/notification outcome and screenshot evidence.</t>
  </si>
  <si>
    <t>AND logic is applied and filter parameters persist on every page link.</t>
  </si>
  <si>
    <t>STU-ADM-018</t>
  </si>
  <si>
    <t>Directory progress ignores repeated subject attempts</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</si>
  <si>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 staff user with students.view_student.
• Open Students &gt; Directory (/students/directory/).
• Use a student who passed the same subject in two terms.
• Record the displayed values, response and audit/notification result.
4. Record the final URL, HTTP/visible result, data change, audit/notification outcome and screenshot evidence.</t>
  </si>
  <si>
    <t>The subject contributes once to completion/progress.</t>
  </si>
  <si>
    <t>STU-ADM-019</t>
  </si>
  <si>
    <t>No-result state and Clear Filters</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</si>
  <si>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 staff user with students.view_student.
• Open Students &gt; Directory (/students/directory/).
• Apply a filter combination with zero results, then clear it.
• Record the displayed values, response and audit/notification result.
4. Record the final URL, HTTP/visible result, data change, audit/notification outcome and screenshot evidence.</t>
  </si>
  <si>
    <t>A useful empty state appears and Clear returns the full directory.</t>
  </si>
  <si>
    <t>STU-ADM-020</t>
  </si>
  <si>
    <t>Open student details from a result</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</si>
  <si>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 staff user with students.view_student.
• Open Students &gt; Directory (/students/directory/).
• Select View/Open for a known student.
• Record the displayed values, response and audit/notification result.
4. Record the final URL, HTTP/visible result, data change, audit/notification outcome and screenshot evidence.</t>
  </si>
  <si>
    <t>The URL contains the correct pk and the correct student's detail page opens.</t>
  </si>
  <si>
    <t>STU-ADM-021</t>
  </si>
  <si>
    <t>Student Detail &amp; Transcript</t>
  </si>
  <si>
    <t>Student detail shows the correct identity</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</si>
  <si>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 staff user with students.view_student.
• Open a known record from Students &gt; Directory.
• Compare ID, name, email, major and statuses with the source record.
• Record the displayed values, response and audit/notification result.
4. Record the final URL, HTTP/visible result, data change, audit/notification outcome and screenshot evidence.</t>
  </si>
  <si>
    <t>Admin/Superuser staging access is available. Use synthetic records only. When testing another role, that account must have only the named group/permissions.
Student has results across at least two terms, invoices and repeated/credit outcomes.</t>
  </si>
  <si>
    <t>Control student with PA, HD, F, W, AS, CT and ENROLLED outcomes.</t>
  </si>
  <si>
    <t>All identity fields belong to the selected student.</t>
  </si>
  <si>
    <t>STU-ADM-022</t>
  </si>
  <si>
    <t>Progress calculation handles repeated subjects</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</si>
  <si>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 staff user with students.view_student.
• Open a known record from Students &gt; Directory.
• Add a repeated subject result and reload.
• Record the displayed values, response and audit/notification result.
4. Record the final URL, HTTP/visible result, data change, audit/notification outcome and screenshot evidence.</t>
  </si>
  <si>
    <t>Completion counts distinct requirements, not attempts.</t>
  </si>
  <si>
    <t>STU-ADM-023</t>
  </si>
  <si>
    <t>Academic transcript renders</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</si>
  <si>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 staff user with students.view_student.
• Open a known record from Students &gt; Directory.
• Open the transcript and print preview.
• Record the displayed values, response and audit/notification result.
4. Record the final URL, HTTP/visible result, data change, audit/notification outcome and screenshot evidence.</t>
  </si>
  <si>
    <t>Identity, term sections, results, GPA and generated date are complete and printable.</t>
  </si>
  <si>
    <t>STU-ADM-024</t>
  </si>
  <si>
    <t>Transcript GPA matches stored 7-point GPA</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</si>
  <si>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 staff user with students.view_student.
• Open a known record from Students &gt; Directory.
• Calculate credit-weighted HD=7, DI=6, CR=5, PA=4, F=0 and compare all GPA displays.
• Record the displayed values, response and audit/notification result.
4. Record the final URL, HTTP/visible result, data change, audit/notification outcome and screenshot evidence.</t>
  </si>
  <si>
    <t>Transcript, model and other screens use the same documented scale and value.</t>
  </si>
  <si>
    <t>FAIL — Student SAHE240001 transcript displayed 'Cumulative GPA (out of 4.0)', while the approved/stored model calculation uses a 7-point scale.</t>
  </si>
  <si>
    <t>BUG-STU-015</t>
  </si>
  <si>
    <t>STU-ADM-025</t>
  </si>
  <si>
    <t>Status Management</t>
  </si>
  <si>
    <t>Status panel permission</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</si>
  <si>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 staff user with students.change_student.
• Open a student's Status panel.
• Open the panel with and without students.change_student.
• Record the displayed values, response and audit/notification result.
4. Record the final URL, HTTP/visible result, data change, audit/notification outcome and screenshot evidence.</t>
  </si>
  <si>
    <t>Admin/Superuser staging access is available. Use synthetic records only. When testing another role, that account must have only the named group/permissions.
Student exists with linked portal user; status history contains at least one row.</t>
  </si>
  <si>
    <t>Lifecycle, account and compliance statuses plus a meaningful reason.</t>
  </si>
  <si>
    <t>Authorised user sees all three dimensions; unauthorised user receives 403.</t>
  </si>
  <si>
    <t>PASS — The signed-in Admin opened Student SAHE240001's profile and the status panel rendered the student's current status and academic history without an access or server error.</t>
  </si>
  <si>
    <t>STU-ADM-026</t>
  </si>
  <si>
    <t>Enrollment Management</t>
  </si>
  <si>
    <t>Enrolment list permission</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</si>
  <si>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 staff user with students.change_enrollment.
• Open Students &gt; Enrolments (/students/enrollments/).
• Open the page with and without change_enrollment permission.
• Record the displayed values, response and audit/notification result.
4. Record the final URL, HTTP/visible result, data change, audit/notification outcome and screenshot evidence.</t>
  </si>
  <si>
    <t>Admin/Superuser staging access is available. Use synthetic records only. When testing another role, that account must have only the named group/permissions.
Terms, subjects and enrolments exist; include one locked term.</t>
  </si>
  <si>
    <t>Control enrolments across every outcome; marks at boundaries 0, 49.99, 50, 100.</t>
  </si>
  <si>
    <t>Authorised user sees the list; unauthorised user is denied and cannot infer records.</t>
  </si>
  <si>
    <t>PASS — The signed-in Admin opened Enrollment Management and the populated enrollment list, filters, search field and permitted row actions rendered successfully.</t>
  </si>
  <si>
    <t>STU-ADM-027</t>
  </si>
  <si>
    <t>Filter by term</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</si>
  <si>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 staff user with students.change_enrollment.
• Open Students &gt; Enrolments (/students/enrollments/).
• Select a term and compare all returned rows.
• Record the displayed values, response and audit/notification result.
4. Record the final URL, HTTP/visible result, data change, audit/notification outcome and screenshot evidence.</t>
  </si>
  <si>
    <t>Every row belongs to the selected term and the selection persists.</t>
  </si>
  <si>
    <t>PASS — Applying term=6 selected Semester 3 2025, returned populated rows for that term and preserved the filter in the final URL; the result showed Page 1 of 16.</t>
  </si>
  <si>
    <t>STU-ADM-028</t>
  </si>
  <si>
    <t>Filter by subject</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</si>
  <si>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 staff user with students.change_enrollment.
• Open Students &gt; Enrolments (/students/enrollments/).
• Select a subject.
• Record the displayed values, response and audit/notification result.
4. Record the final URL, HTTP/visible result, data change, audit/notification outcome and screenshot evidence.</t>
  </si>
  <si>
    <t>Every row belongs to the selected subject.</t>
  </si>
  <si>
    <t>PASS — Applying subject=2 returned 50 visible enrollment rows on page 1 and every displayed result row used ACC102; the result showed Page 1 of 14.</t>
  </si>
  <si>
    <t>STU-ADM-029</t>
  </si>
  <si>
    <t>Filter by ENROLLED outcome</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</si>
  <si>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 staff user with students.change_enrollment.
• Open Students &gt; Enrolments (/students/enrollments/).
• Select the UI option intended to mean In Progress.
• Record the displayed values, response and audit/notification result.
4. Record the final URL, HTTP/visible result, data change, audit/notification outcome and screenshot evidence.</t>
  </si>
  <si>
    <t>Rows with outcome ENROLLED are returned.</t>
  </si>
  <si>
    <t>FAIL — The visible enrolment filter uses value IP for In Progress and returns 'No Enrollments Found'; direct outcome=ENROLLED returns populated rows. The filter also omits AS, CT and ENROLLED choices.</t>
  </si>
  <si>
    <t>BUG-STU-005</t>
  </si>
  <si>
    <t>STU-ADM-030</t>
  </si>
  <si>
    <t>Filter by every outcome</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</si>
  <si>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 staff user with students.change_enrollment.
• Open Students &gt; Enrolments (/students/enrollments/).
• Repeat for AS, CT, PA, CR, DI, HD, F, W and ENROLLED.
• Record the displayed values, response and audit/notification result.
4. Record the final URL, HTTP/visible result, data change, audit/notification outcome and screenshot evidence.</t>
  </si>
  <si>
    <t>Each valid model outcome is selectable and returns the correct rows.</t>
  </si>
  <si>
    <t>STU-ADM-031</t>
  </si>
  <si>
    <t>Search by name or student ID</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</si>
  <si>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 staff user with students.change_enrollment.
• Open Students &gt; Enrolments (/students/enrollments/).
• Search partial and exact values, then combine with filters.
• Record the displayed values, response and audit/notification result.
4. Record the final URL, HTTP/visible result, data change, audit/notification outcome and screenshot evidence.</t>
  </si>
  <si>
    <t>Correct AND-filtered result set; input persists on pagination.</t>
  </si>
  <si>
    <t>PASS — Searching Enrollment Management for SAHE240001 returned 17 rows and every displayed result belonged to Student SAHE240001.</t>
  </si>
  <si>
    <t>STU-ADM-032</t>
  </si>
  <si>
    <t>Performance Report</t>
  </si>
  <si>
    <t>Performance report permission</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</si>
  <si>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 staff user with students.view_student.
• Open Students &gt; Performance.
• Open with authorised and unauthorised users.
• Record the displayed values, response and audit/notification result.
4. Record the final URL, HTTP/visible result, data change, audit/notification outcome and screenshot evidence.</t>
  </si>
  <si>
    <t>Admin/Superuser staging access is available. Use synthetic records only. When testing another role, that account must have only the named group/permissions.
Dataset contains all outcomes across at least two subjects and two terms.</t>
  </si>
  <si>
    <t>Known counts for PA, CR, DI, HD, F, W, AS, CT and ENROLLED.</t>
  </si>
  <si>
    <t>Authorised report loads; unauthorised access is denied with no aggregate leakage.</t>
  </si>
  <si>
    <t>PASS — The signed-in Admin opened the Student Performance Report and its metrics, outcome distribution, subject performance and term statistics rendered without an access or server error.</t>
  </si>
  <si>
    <t>STU-ADM-033</t>
  </si>
  <si>
    <t>Headline metrics reconcile</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</si>
  <si>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 staff user with students.view_student.
• Open Students &gt; Performance.
• Recalculate total students, total enrolments, pass rate and graduated count.
• Record the displayed values, response and audit/notification result.
4. Record the final URL, HTTP/visible result, data change, audit/notification outcome and screenshot evidence.</t>
  </si>
  <si>
    <t>All headline values match the documented definitions.</t>
  </si>
  <si>
    <t>PASS — Performance metrics reconciled: outcome counts totalled 7,517; PA/CR/DI/HD totalled 3,378 passed; failed was 820; ENROLLED was 733; AS/CT totalled 2,586; the graded pass rate rounded to 80.5%.</t>
  </si>
  <si>
    <t>STU-ADM-034</t>
  </si>
  <si>
    <t>Outcome distribution totals 100 percent</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</si>
  <si>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 staff user with students.view_student.
• Open Students &gt; Performance.
• Sum counts and percentages across outcome rows.
• Record the displayed values, response and audit/notification result.
4. Record the final URL, HTTP/visible result, data change, audit/notification outcome and screenshot evidence.</t>
  </si>
  <si>
    <t>Counts equal total enrolments and percentages sum to approximately 100% after rounding.</t>
  </si>
  <si>
    <t>PASS — The outcome distribution displayed every count and percentage; rounded percentages totalled 100.1%, an expected 0.1-point rounding variance from 100%.</t>
  </si>
  <si>
    <t>STU-ADM-035</t>
  </si>
  <si>
    <t>Outcome chart matches table</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</si>
  <si>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 staff user with students.view_student.
• Open Students &gt; Performance.
• Compare every bar label/value/colour with the outcome table.
• Record the displayed values, response and audit/notification result.
4. Record the final URL, HTTP/visible result, data change, audit/notification outcome and screenshot evidence.</t>
  </si>
  <si>
    <t>No missing or stale series; bar values equal table counts.</t>
  </si>
  <si>
    <t>PASS — Each outcome distribution bar width matched its displayed percentage (34.3%, 23.3%, 16.1%, 10.9%, 9.8%, 4.9%, 0.7% and 0.1%).</t>
  </si>
  <si>
    <t>STU-ADM-036</t>
  </si>
  <si>
    <t>Legacy Student Portal</t>
  </si>
  <si>
    <t>Non-student receives proper access denial</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</si>
  <si>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Student A unless the case says otherwise.
• Open the legacy student portal/roadmap/profile/schedule/services/bills page.
• Open each legacy page as staff/applicant without a student link.
• Record the displayed values, response and audit/notification result.
4. Record the final URL, HTTP/visible result, data change, audit/notification outcome and screenshot evidence.</t>
  </si>
  <si>
    <t>Admin/Superuser staging access is available. Use synthetic records only. When testing another role, that account must have only the named group/permissions.
Student A is linked to a Student row and has enrolments/invoices.</t>
  </si>
  <si>
    <t>Student A and Student B have clearly different data.</t>
  </si>
  <si>
    <t>403 is returned consistently, not a 200 page containing an error message.</t>
  </si>
  <si>
    <t>FAIL — Legacy portal, roadmap, profile, schedule and services routes rendered normal HTTP-style pages containing 'Access Error — Access denied. You are not a student' instead of a consistent permission-denied response.</t>
  </si>
  <si>
    <t>BUG-STU-021</t>
  </si>
  <si>
    <t>STU-ADM-037</t>
  </si>
  <si>
    <t>Self-Service Dashboard</t>
  </si>
  <si>
    <t>Superuser picker without target</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</si>
  <si>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Student A.
• Open /students/dashboard/.
• Open as superuser without ?student=.
• Record the displayed values, response and audit/notification result.
4. Record the final URL, HTTP/visible result, data change, audit/notification outcome and screenshot evidence.</t>
  </si>
  <si>
    <t>Admin/Superuser staging access is available. Use synthetic records only. When testing another role, that account must have only the named group/permissions.
Student A and B have distinct timetable, finance, attendance and document data.</t>
  </si>
  <si>
    <t>Student A has current classes, invoices, attendance and recent activity.</t>
  </si>
  <si>
    <t>Student picker renders and no unscoped metrics/data appear.</t>
  </si>
  <si>
    <t>PASS — Admin self-service entry displayed 'No student selected' and a Student picker; no unscoped Student dashboard data was shown before a selection.</t>
  </si>
  <si>
    <t>STU-ADM-038</t>
  </si>
  <si>
    <t>Service Hub &amp; Tickets</t>
  </si>
  <si>
    <t>Staff queue department scoping</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</si>
  <si>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Student A unless the case specifies staff.
• Open My Service / Tickets or the staff ticket queue/detail page.
• Open queue as Department A staff and compare Department B tickets.
• Record the displayed values, response and audit/notification result.
4. Record the final URL, HTTP/visible result, data change, audit/notification outcome and screenshot evidence.</t>
  </si>
  <si>
    <t>Admin/Superuser staging access is available. Use synthetic records only. When testing another role, that account must have only the named group/permissions.
Two departments and two staff users exist; Student A/B have separate tickets.</t>
  </si>
  <si>
    <t>Academic, finance, welfare, IT, documents and other categories; all priorities/statuses.</t>
  </si>
  <si>
    <t>Only Department A, assigned-to-user and approved unassigned tickets appear.</t>
  </si>
  <si>
    <t>PASS — The corresponding Admin service page loaded successfully and rendered its filters plus a clear zero-record empty state. No mutation was performed.</t>
  </si>
  <si>
    <t>STU-ADM-039</t>
  </si>
  <si>
    <t>Conversations</t>
  </si>
  <si>
    <t>Staff inbox department scoping</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</si>
  <si>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Student A unless the case specifies staff.
• Open My Conversations or the staff conversation inbox/detail page.
• Open as Department A staff.
• Record the displayed values, response and audit/notification result.
4. Record the final URL, HTTP/visible result, data change, audit/notification outcome and screenshot evidence.</t>
  </si>
  <si>
    <t>Admin/Superuser staging access is available. Use synthetic records only. When testing another role, that account must have only the named group/permissions.
Department A/B and permissioned/unpermissioned staff users exist.</t>
  </si>
  <si>
    <t>Open and closed conversations for Student A/B.</t>
  </si>
  <si>
    <t>Only Department A conversations/departments appear.</t>
  </si>
  <si>
    <t>STU-ADM-040</t>
  </si>
  <si>
    <t>Risk &amp; Early Alerts</t>
  </si>
  <si>
    <t>Risk dashboard permission</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</si>
  <si>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staff with students.view_risk; use manage_risk_rules where noted.
• Open Students &gt; Risk and Risk Rules.
• Open with/without students.view_risk.
• Record the displayed values, response and audit/notification result.
4. Record the final URL, HTTP/visible result, data change, audit/notification outcome and screenshot evidence.</t>
  </si>
  <si>
    <t>Admin/Superuser staging access is available. Use synthetic records only. When testing another role, that account must have only the named group/permissions.
Students exist for each risk signal and one clean control student.</t>
  </si>
  <si>
    <t>Repeated fails, attendance, overdue fees, CoE and visa fixtures around thresholds.</t>
  </si>
  <si>
    <t>Only authorised staff can view risk analytics and student reasons.</t>
  </si>
  <si>
    <t>PASS — The signed-in Admin opened Student Risk and the severity data, at-risk student rows and risk reasons rendered without an access or server error.</t>
  </si>
  <si>
    <t>STU-ADM-041</t>
  </si>
  <si>
    <t>Risk filters and counts</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</si>
  <si>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staff with students.view_risk; use manage_risk_rules where noted.
• Open Students &gt; Risk and Risk Rules.
• Filter by signal and severity.
• Record the displayed values, response and audit/notification result.
4. Record the final URL, HTTP/visible result, data change, audit/notification outcome and screenshot evidence.</t>
  </si>
  <si>
    <t>Rows are filtered while headline analytics retain their documented scope; counts reconcile.</t>
  </si>
  <si>
    <t>PASS — /students/risk/ and /students/risk/rules/ loaded successfully for Admin. Severity cards, filters, at-risk rows and the active rule list rendered without a visible application error.</t>
  </si>
  <si>
    <t>STU-ADM-042</t>
  </si>
  <si>
    <t>Wellbeing</t>
  </si>
  <si>
    <t>Wellbeing list staff-only access</t>
  </si>
  <si>
    <t>1. Sign in at https://staging.sahe-sms.neuronnest.com/ with a clean Admin/Superuser control account.
2. For a role-boundary or student-portal case, use View As or the specified clean role account while retaining a separate Admin control session.
3. Follow the source procedure:
• Use Student A for self-submission tests and authorised staff for the list.
• Open/POST the wellbeing endpoint and staff Wellbeing list.
• Open as staff, student, applicant and signed-out user.
• Record the displayed values, response and audit/notification result.
4. Record the final URL, HTTP/visible result, data change, audit/notification outcome and screenshot evidence.</t>
  </si>
  <si>
    <t>Admin/Superuser staging access is available. Use synthetic records only. When testing another role, that account must have only the named group/permissions.
Student A/B and Student Counsellor group exist.</t>
  </si>
  <si>
    <t>Mood/stress boundaries, invalid text and low-mood/high-stress escalation values.</t>
  </si>
  <si>
    <t>Only internal staff can view sensitive check-ins.</t>
  </si>
  <si>
    <t>PASS — The Admin welfare page loaded with the correct title, count/filters and explicit empty-state content. No sensitive record was created or modified.</t>
  </si>
  <si>
    <t>STU-ADM-043</t>
  </si>
  <si>
    <t>Wellbeing filters and metrics</t>
  </si>
  <si>
    <t>1. Sign in at https://staging.sahe-sms.neuronnest.com/ with a clean Admin/Superuser control account.
2. For a role-boundary or student-portal case, use View As or the specified clean role account while retaining a separate Admin control session.
3. Follow the source procedure:
• Use Student A for self-submission tests and authorised staff for the list.
• Open/POST the wellbeing endpoint and staff Wellbeing list.
• Compare total/open escalations/30-day mood and Escalated Only rows.
• Record the displayed values, response and audit/notification result.
4. Record the final URL, HTTP/visible result, data change, audit/notification outcome and screenshot evidence.</t>
  </si>
  <si>
    <t>Metrics and filter reconcile to records and time window.</t>
  </si>
  <si>
    <t>STU-ADM-044</t>
  </si>
  <si>
    <t>Welfare Case Management</t>
  </si>
  <si>
    <t>All welfare lists are staff-only</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</si>
  <si>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authorised internal staff.
• Open each Welfare menu page.
• Open every welfare URL as student/applicant/signed-out user.
• Record the displayed values, response and audit/notification result.
4. Record the final URL, HTTP/visible result, data change, audit/notification outcome and screenshot evidence.</t>
  </si>
  <si>
    <t>Admin/Superuser staging access is available. Use synthetic records only. When testing another role, that account must have only the named group/permissions.
Representative records exist for interventions, grievances, complaints, LOA, ID cards, graduation, completion, alumni, surveys and mentorship.</t>
  </si>
  <si>
    <t>Mixed statuses, dates, departments and students.</t>
  </si>
  <si>
    <t>Sensitive records are denied with no counts or names exposed.</t>
  </si>
  <si>
    <t>STU-ADM-045</t>
  </si>
  <si>
    <t>Intervention status filter</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</si>
  <si>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authorised internal staff.
• Open each Welfare menu page.
• Filter each intervention status.
• Record the displayed values, response and audit/notification result.
4. Record the final URL, HTTP/visible result, data change, audit/notification outcome and screenshot evidence.</t>
  </si>
  <si>
    <t>Only matching rows appear and selection persists.</t>
  </si>
  <si>
    <t>PASS — Academic Interventions loaded for Admin and displayed All, Open, In Progress, Closed - Successful and Closed - No Response filters with a clear zero-record state.</t>
  </si>
  <si>
    <t>STU-ADM-046</t>
  </si>
  <si>
    <t>Grievance overdue filter</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</si>
  <si>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authorised internal staff.
• Open each Welfare menu page.
• Use open overdue, open future, resolved overdue and withdrawn overdue grievances.
• Record the displayed values, response and audit/notification result.
4. Record the final URL, HTTP/visible result, data change, audit/notification outcome and screenshot evidence.</t>
  </si>
  <si>
    <t>Only open overdue items appear in overdue mode.</t>
  </si>
  <si>
    <t>PASS — Grievances loaded for Admin and displayed All and Overdue SLA filters with a clear zero-record state.</t>
  </si>
  <si>
    <t>STU-ADM-047</t>
  </si>
  <si>
    <t>ID card status summary</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</si>
  <si>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authorised internal staff.
• Open each Welfare menu page.
• Reconcile queued, printed and dispatched counts.
• Record the displayed values, response and audit/notification result.
4. Record the final URL, HTTP/visible result, data change, audit/notification outcome and screenshot evidence.</t>
  </si>
  <si>
    <t>Summary matches records.</t>
  </si>
  <si>
    <t>PASS — Student ID Cards loaded for Admin and reconciled its empty summary: 0 total, 0 Queued, 0 Printed and 0 Dispatched, with a clear empty-state message.</t>
  </si>
  <si>
    <t>STU-ADM-048</t>
  </si>
  <si>
    <t>Completion document type filter</t>
  </si>
  <si>
    <t>1. Sign in at https://staging.sahe-sms.neuronnest.com/ with a clean Admin/Superuser control account.
2. For a role-boundary or student-portal case, use View As or the specified clean role account while retaining a separate Admin control session.
3. Follow the source procedure:
• Sign in as authorised internal staff.
• Open each Welfare menu page.
• Filter every completion document type.
• Record the displayed values, response and audit/notification result.
4. Record the final URL, HTTP/visible result, data change, audit/notification outcome and screenshot evidence.</t>
  </si>
  <si>
    <t>Only matching documents appear and downloads are protected.</t>
  </si>
  <si>
    <t>PASS — Completion Documents loaded for Admin and displayed All, Statement of Attainment, Testamur and Academic Transcript filters with a clear zero-record state.</t>
  </si>
  <si>
    <t>STU-ADM-049</t>
  </si>
  <si>
    <t>Student Snapshot API</t>
  </si>
  <si>
    <t>Missing lookup parameter</t>
  </si>
  <si>
    <t>1. Sign in at https://staging.sahe-sms.neuronnest.com/ with a clean Admin/Superuser control account.
2. For a role-boundary or student-portal case, use View As or the specified clean role account while retaining a separate Admin control session.
3. Follow the source procedure:
• Authenticate as Student A, staff, teacher and unauthorised roles in separate runs.
• Call /students/api/snapshot/ with query parameters.
• Call without student_id/email.
• Record the displayed values, response and audit/notification result.
4. Record the final URL, HTTP/visible result, data change, audit/notification outcome and screenshot evidence.</t>
  </si>
  <si>
    <t>Admin/Superuser staging access is available. Use synthetic records only. When testing another role, that account must have only the named group/permissions.
Student A/B have all enrolment outcomes and distinct emails/IDs.</t>
  </si>
  <si>
    <t>student_id, college_email/email; missing, unknown and ambiguous combinations.</t>
  </si>
  <si>
    <t>400 with stable error message; no stack trace.</t>
  </si>
  <si>
    <t>PASS — Calling the Student Snapshot API without an identifier returned the stable validation message 'student_id or college_email is required' and did not expose a stack trace.</t>
  </si>
  <si>
    <t>STU-ADM-050</t>
  </si>
  <si>
    <t>Code Review Verification</t>
  </si>
  <si>
    <t>Verify BUG-STU-WEB-001: Staging exposes Django DEBUG 404 details on invalid Student URLs</t>
  </si>
  <si>
    <t>1. Sign in at https://staging.sahe-sms.neuronnest.com/ with a clean Admin/Superuser control account.
2. Prepare the approved synthetic data and role described below.
3. Open /students/directory/999999/ or /students/students/999999/transcript/ while signed in as Admin.
4. Record the final URL, visible result, HTTP status, database/audit effect and screenshot/network evidence.</t>
  </si>
  <si>
    <t>Admin/Superuser staging access and the role/dataset needed to verify BUG-STU-WEB-001. Do not perform destructive or unsafe upload checks outside approved staging controls.</t>
  </si>
  <si>
    <t>https://staging.sahe-sms.neuronnest.com/students/
Primary role context: Admin / all roles</t>
  </si>
  <si>
    <t>A branded minimal 404 page is shown without framework configuration, URL patterns, internal view names or settings guidance.</t>
  </si>
  <si>
    <t>SAHE SMS — Finance Department Admin QA Tracker</t>
  </si>
  <si>
    <t>Admin-only workflow tests based on the supplied Finance module. Complete with safe test records and add your evidence in the final columns.</t>
  </si>
  <si>
    <t>FIN-01</t>
  </si>
  <si>
    <t>Open Finance Dashboard</t>
  </si>
  <si>
    <t>Admin is logged in</t>
  </si>
  <si>
    <t>Open Finance &gt; Overview.</t>
  </si>
  <si>
    <t>Dashboard loads with financial totals, alerts, recent invoices/payments and revenue trend.</t>
  </si>
  <si>
    <t>Not Started</t>
  </si>
  <si>
    <t>FIN-02</t>
  </si>
  <si>
    <t>Invoices</t>
  </si>
  <si>
    <t>Open Invoice List</t>
  </si>
  <si>
    <t>Admin is logged in; invoices exist</t>
  </si>
  <si>
    <t>Open Finance &gt; Invoices.</t>
  </si>
  <si>
    <t>Invoice list loads with student, invoice number, amount, paid amount, due date and status.</t>
  </si>
  <si>
    <t>FIN-03</t>
  </si>
  <si>
    <t>Search invoices</t>
  </si>
  <si>
    <t>At least one known invoice exists</t>
  </si>
  <si>
    <t>Search by invoice number; repeat using a student name or ID.</t>
  </si>
  <si>
    <t>Matching invoice(s) are returned; unrelated invoices are excluded.</t>
  </si>
  <si>
    <t>FIN-04</t>
  </si>
  <si>
    <t>Filter invoices by status</t>
  </si>
  <si>
    <t>Invoices with different statuses exist</t>
  </si>
  <si>
    <t>Apply each available status filter: Draft, Pending, Partially Paid, Paid, Overdue and Cancelled.</t>
  </si>
  <si>
    <t>Each filter shows only invoices with the selected status.</t>
  </si>
  <si>
    <t>FIN-05</t>
  </si>
  <si>
    <t>Filter overdue invoices</t>
  </si>
  <si>
    <t>At least one unpaid past-due invoice exists</t>
  </si>
  <si>
    <t>Enable the overdue-only filter.</t>
  </si>
  <si>
    <t>Only unpaid invoices past their due date are shown.</t>
  </si>
  <si>
    <t>FIN-06</t>
  </si>
  <si>
    <t>Validate required fields when creating an invoice</t>
  </si>
  <si>
    <t>Admin is on Create Invoice page</t>
  </si>
  <si>
    <t>Leave a required field blank and attempt to save.</t>
  </si>
  <si>
    <t>Invoice is not created; clear validation message identifies the missing field.</t>
  </si>
  <si>
    <t>FIN-07</t>
  </si>
  <si>
    <t>Create a valid ad-hoc student invoice</t>
  </si>
  <si>
    <t>Use a safe test student; know the amount and due date</t>
  </si>
  <si>
    <t>Create an invoice with a positive amount and future due date; save.</t>
  </si>
  <si>
    <t>A unique invoice number is generated, the correct student and amount are saved, and the invoice appears in the list.</t>
  </si>
  <si>
    <t>Use a test invoice only.</t>
  </si>
  <si>
    <t>FIN-08</t>
  </si>
  <si>
    <t>Invoice Details</t>
  </si>
  <si>
    <t>Verify invoice financial calculation</t>
  </si>
  <si>
    <t>A test invoice exists with amount, GST and/or discount</t>
  </si>
  <si>
    <t>Open the invoice and compare displayed total and balance to amount + GST − discount − payments.</t>
  </si>
  <si>
    <t>Displayed balance and total are mathematically correct.</t>
  </si>
  <si>
    <t>FIN-09</t>
  </si>
  <si>
    <t>Payments</t>
  </si>
  <si>
    <t>Record a partial payment</t>
  </si>
  <si>
    <t>A test invoice has a positive outstanding balance</t>
  </si>
  <si>
    <t>Record a payment smaller than the remaining balance, including method and reference.</t>
  </si>
  <si>
    <t>Payment is recorded once; invoice amount paid increases and status becomes Partially Paid.</t>
  </si>
  <si>
    <t>FIN-10</t>
  </si>
  <si>
    <t>Prevent overpayment</t>
  </si>
  <si>
    <t>A test invoice has a known remaining balance</t>
  </si>
  <si>
    <t>Try to record a payment greater than the outstanding balance.</t>
  </si>
  <si>
    <t>Payment is rejected with an error; no payment record or invoice balance change is made.</t>
  </si>
  <si>
    <t>FIN-11</t>
  </si>
  <si>
    <t>Settle an ad-hoc invoice</t>
  </si>
  <si>
    <t>A non-application test invoice is partially paid or unpaid</t>
  </si>
  <si>
    <t>Record exactly the remaining balance.</t>
  </si>
  <si>
    <t>Invoice status becomes Paid; balance becomes zero; payment appears in payment history.</t>
  </si>
  <si>
    <t>FIN-12</t>
  </si>
  <si>
    <t>Review payment list, search and filters</t>
  </si>
  <si>
    <t>Payments exist with different methods/dates</t>
  </si>
  <si>
    <t>Open Payments; filter by method and period; search by student, invoice or reference.</t>
  </si>
  <si>
    <t>Only matching payment records and correct summary counts/amounts appear.</t>
  </si>
  <si>
    <t>FIN-13</t>
  </si>
  <si>
    <t>Payment Plans</t>
  </si>
  <si>
    <t>Open payment-plan templates</t>
  </si>
  <si>
    <t>Open Finance &gt; Payment Plans.</t>
  </si>
  <si>
    <t>Template list loads with active/inactive plans and their schedule details.</t>
  </si>
  <si>
    <t>FIN-14</t>
  </si>
  <si>
    <t>Create a valid payment-plan template</t>
  </si>
  <si>
    <t>Use a clearly named test template</t>
  </si>
  <si>
    <t>Create a template with plan type, payment schedule and required values.</t>
  </si>
  <si>
    <t>Template saves successfully and appears in the template list.</t>
  </si>
  <si>
    <t>Use a test-named template.</t>
  </si>
  <si>
    <t>FIN-15</t>
  </si>
  <si>
    <t>Validate payment-plan template fields</t>
  </si>
  <si>
    <t>Admin is on template creation page</t>
  </si>
  <si>
    <t>Enter invalid or incomplete schedule data and save.</t>
  </si>
  <si>
    <t>Template is not saved; validation prevents an invalid payment plan.</t>
  </si>
  <si>
    <t>FIN-16</t>
  </si>
  <si>
    <t>Edit a payment-plan template</t>
  </si>
  <si>
    <t>A disposable test template exists</t>
  </si>
  <si>
    <t>Change one value; save; reopen the template.</t>
  </si>
  <si>
    <t>The changed value persists after reopening.</t>
  </si>
  <si>
    <t>FIN-17</t>
  </si>
  <si>
    <t>Duplicate a payment-plan template</t>
  </si>
  <si>
    <t>Use Duplicate and give the copy a unique name if prompted.</t>
  </si>
  <si>
    <t>A separate copy is created; source template remains unchanged.</t>
  </si>
  <si>
    <t>FIN-18</t>
  </si>
  <si>
    <t>Deactivate/delete a test payment-plan template</t>
  </si>
  <si>
    <t>A disposable test template exists and is not in use</t>
  </si>
  <si>
    <t>Delete/deactivate the test template and return to the list.</t>
  </si>
  <si>
    <t>The template is inactive/removed as designed and is no longer offered as an active choice.</t>
  </si>
  <si>
    <t>Do not use a live production template.</t>
  </si>
  <si>
    <t>FIN-19</t>
  </si>
  <si>
    <t>Finance Queue</t>
  </si>
  <si>
    <t>Open the Finance Queue</t>
  </si>
  <si>
    <t>Admin is logged in; finance assignment may exist</t>
  </si>
  <si>
    <t>Open Finance &gt; Finance Queue.</t>
  </si>
  <si>
    <t>Queue loads without error; admin can see active assignments, priority, owner and due-date information.</t>
  </si>
  <si>
    <t>FIN-20</t>
  </si>
  <si>
    <t>Assign an application to finance</t>
  </si>
  <si>
    <t>An eligible application and a finance staff account exist</t>
  </si>
  <si>
    <t>Open the application; assign it to a finance staff member with priority and due date.</t>
  </si>
  <si>
    <t>Assignment is saved and appears in the Finance Queue with the correct owner and details.</t>
  </si>
  <si>
    <t>FIN-21</t>
  </si>
  <si>
    <t>Auto-assign an application to finance</t>
  </si>
  <si>
    <t>An eligible unassigned application and available finance staff exist</t>
  </si>
  <si>
    <t>Use Auto-assign on the application.</t>
  </si>
  <si>
    <t>System assigns the application to an available/least-loaded finance staff member, or gives a clear message when none are available.</t>
  </si>
  <si>
    <t>FIN-22</t>
  </si>
  <si>
    <t>Admissions to Finance</t>
  </si>
  <si>
    <t>Create finance work after offer acceptance</t>
  </si>
  <si>
    <t>A safe test application can progress to an accepted offer</t>
  </si>
  <si>
    <t>Accept the offer and trigger creation of the initial payment plan/invoice.</t>
  </si>
  <si>
    <t>Application moves to Pending Finance; a linked payment plan and initial invoice are created.</t>
  </si>
  <si>
    <t>This is the core end-to-end workflow.</t>
  </si>
  <si>
    <t>FIN-23</t>
  </si>
  <si>
    <t>Keep application pending after partial initial payment</t>
  </si>
  <si>
    <t>A Pending Finance test application with initial invoice exists</t>
  </si>
  <si>
    <t>Record an amount smaller than the initial invoice balance.</t>
  </si>
  <si>
    <t>Invoice becomes Partially Paid; application stays Pending Finance; finance is not cleared.</t>
  </si>
  <si>
    <t>FIN-24</t>
  </si>
  <si>
    <t>Clear finance after full initial payment</t>
  </si>
  <si>
    <t>A Pending Finance test application with an unpaid/partially paid initial invoice exists</t>
  </si>
  <si>
    <t>Record exactly the remaining amount; reopen the application and related student records.</t>
  </si>
  <si>
    <t>Invoice is Paid; finance is cleared; student is activated/linked; finance assignment completes; CoE is issued where applicable; application progresses to Accepted.</t>
  </si>
  <si>
    <t>Capture screenshots at each stage.</t>
  </si>
  <si>
    <t>FIN-25</t>
  </si>
  <si>
    <t>Reports</t>
  </si>
  <si>
    <t>Verify overdue report</t>
  </si>
  <si>
    <t>At least one invoice has status Overdue</t>
  </si>
  <si>
    <t>Open Finance &gt; Reports &gt; Overdue.</t>
  </si>
  <si>
    <t>Overdue invoices are shown in the correct age grouping and total overdue amount is correct.</t>
  </si>
  <si>
    <t>FIN-26</t>
  </si>
  <si>
    <t>Verify fee-aging report</t>
  </si>
  <si>
    <t>Outstanding invoices exist with differing due dates</t>
  </si>
  <si>
    <t>Open Finance &gt; Fee Aging and compare known invoices to their day buckets.</t>
  </si>
  <si>
    <t>Invoices and outstanding balances appear in the correct current/1–30/31–60/61–90/90+ bucket; total and top debtors are correct.</t>
  </si>
  <si>
    <t>FIN-27</t>
  </si>
  <si>
    <t>Student Finance</t>
  </si>
  <si>
    <t>Verify student financial summary</t>
  </si>
  <si>
    <t>A student has invoices and payment history</t>
  </si>
  <si>
    <t>Open the student's financial summary.</t>
  </si>
  <si>
    <t>Total billed, total paid, outstanding balance, invoice list, payment history and overdue amount agree with the underlying records.</t>
  </si>
  <si>
    <t>FIN-28</t>
  </si>
  <si>
    <t>Reminders</t>
  </si>
  <si>
    <t>Send payment reminder from invoice</t>
  </si>
  <si>
    <t>A test unpaid invoice exists</t>
  </si>
  <si>
    <t>Open the invoice and use Send Payment Reminder.</t>
  </si>
  <si>
    <t>System confirms the reminder action and returns to the invoice detail page without changing the financial balance.</t>
  </si>
  <si>
    <t>The current code confirms the action in-app; email delivery needs a separate mail check.</t>
  </si>
  <si>
    <t>SAHE SMS  |  Human Resources  -  QA Test Cases</t>
  </si>
  <si>
    <t>HR-ADM-001</t>
  </si>
  <si>
    <t>Access &amp; Navigation</t>
  </si>
  <si>
    <t>Verify authenticated Admin access to Human Resources</t>
  </si>
  <si>
    <t>1. Open the staging site in the existing signed-in session. 2. Navigate to Human Resources &gt; Overview. 3. Confirm the role indicator and HR content.</t>
  </si>
  <si>
    <t>A valid staging Admin/Superuser session is active. Use only synthetic QA data; do not record passwords or session tokens.</t>
  </si>
  <si>
    <t>https://staging.sahe-sms.neuronnest.com/hr/</t>
  </si>
  <si>
    <t>The authenticated Admin/Superuser reaches HR without a sign-in or permission error.</t>
  </si>
  <si>
    <t>The HR Dashboard opened successfully and the header showed the signed-in account as Superuser.</t>
  </si>
  <si>
    <t>Executed in the signed-in staging website using the final URL and visible DOM on 2026-08-15.</t>
  </si>
  <si>
    <t>HR-ADM-002</t>
  </si>
  <si>
    <t>Verify Human Resources sidebar navigation</t>
  </si>
  <si>
    <t>1. Expand Human Resources in the sidebar. 2. Review every visible HR entry and its destination.</t>
  </si>
  <si>
    <t>Overview; Staff Directory; Leave Requests; Onboarding; Schedule; Training; Compliance Docs; Staff Map; Location Map</t>
  </si>
  <si>
    <t>All expected HR navigation entries are visible and point to HR routes.</t>
  </si>
  <si>
    <t>All nine HR entries were visible with the expected /hr/ destinations.</t>
  </si>
  <si>
    <t>HR-ADM-003</t>
  </si>
  <si>
    <t>HR Dashboard</t>
  </si>
  <si>
    <t>Load the HR Dashboard</t>
  </si>
  <si>
    <t>1. Open /hr/. 2. Confirm the page title, heading, metric cards and panels.</t>
  </si>
  <si>
    <t>The HR Dashboard renders without a server error.</t>
  </si>
  <si>
    <t>The page rendered with title 'HR Dashboard - SAHE SMS', four metric cards, breakdown panels, recent additions, pending leave and quick actions.</t>
  </si>
  <si>
    <t>HR-ADM-004</t>
  </si>
  <si>
    <t>Verify Total Staff metric</t>
  </si>
  <si>
    <t>1. Open the HR Dashboard after creating the approved QA staff. 2. Compare Total Staff with the directory count.</t>
  </si>
  <si>
    <t>3 synthetic QA staff</t>
  </si>
  <si>
    <t>Total Staff equals the number of staff profiles.</t>
  </si>
  <si>
    <t>Total Staff displayed 3 and the Staff Directory displayed 3 total.</t>
  </si>
  <si>
    <t>HR-ADM-005</t>
  </si>
  <si>
    <t>Verify Active Staff metric</t>
  </si>
  <si>
    <t>1. Open /hr/. 2. Compare Active Staff with the synthetic ACTIVE profile.</t>
  </si>
  <si>
    <t>QA-HR-260815-01 = Active</t>
  </si>
  <si>
    <t>Active Staff equals 1.</t>
  </si>
  <si>
    <t>Active Staff displayed 1 and matched the active QA profile.</t>
  </si>
  <si>
    <t>HR-ADM-006</t>
  </si>
  <si>
    <t>Verify On Leave metric</t>
  </si>
  <si>
    <t>1. Open /hr/. 2. Compare On Leave with the synthetic ON_LEAVE profile.</t>
  </si>
  <si>
    <t>QA-HR-260815-02 = On Leave</t>
  </si>
  <si>
    <t>On Leave equals 1.</t>
  </si>
  <si>
    <t>On Leave displayed 1 and matched the on-leave QA profile.</t>
  </si>
  <si>
    <t>HR-ADM-007</t>
  </si>
  <si>
    <t>Verify Inactive metric</t>
  </si>
  <si>
    <t>1. Open /hr/. 2. Compare Inactive with the synthetic INACTIVE profile.</t>
  </si>
  <si>
    <t>QA-HR-260815-03 = Inactive</t>
  </si>
  <si>
    <t>Inactive equals 1.</t>
  </si>
  <si>
    <t>Inactive displayed 1 and matched the inactive QA profile.</t>
  </si>
  <si>
    <t>HR-ADM-008</t>
  </si>
  <si>
    <t>Verify active staff by department</t>
  </si>
  <si>
    <t>1. Review Staff by Department. 2. Compare active counts with profile statuses and primary departments.</t>
  </si>
  <si>
    <t>Active HR=1; On Leave IT=1; Inactive Student Services=1</t>
  </si>
  <si>
    <t>The panel counts active staff only and shows HR=1, IT=0, Student Services=0.</t>
  </si>
  <si>
    <t>The department panel showed HR 1, IT 0 and Student Services 0, correctly excluding non-active profiles.</t>
  </si>
  <si>
    <t>HR-ADM-009</t>
  </si>
  <si>
    <t>Verify Recent Staff Additions</t>
  </si>
  <si>
    <t>1. Review the Recent Staff Additions panel. 2. Confirm the three synthetic records, joined date, status and employment type.</t>
  </si>
  <si>
    <t>QA-HR-260815-01/02/03</t>
  </si>
  <si>
    <t>The three recently created QA profiles are listed with correct summary details.</t>
  </si>
  <si>
    <t>All three QA profiles appeared with Joined Aug 15, 2026 and their correct status/employment type.</t>
  </si>
  <si>
    <t>HR-ADM-010</t>
  </si>
  <si>
    <t>Verify employment-type counts</t>
  </si>
  <si>
    <t>1. Review Employment Types. 2. Reconcile counts with the three QA profiles.</t>
  </si>
  <si>
    <t>Full Time=1; Part Time=1; Contract=1</t>
  </si>
  <si>
    <t>Each employment type count equals 1.</t>
  </si>
  <si>
    <t>The panel showed count 1 for FULL_TIME, PART_TIME and CONTRACT; counts reconciled to the profiles.</t>
  </si>
  <si>
    <t>HR-ADM-011</t>
  </si>
  <si>
    <t>Verify employment-type labels are user friendly</t>
  </si>
  <si>
    <t>1. Review the text labels in Employment Types. 2. Compare them with the labels used in Staff Directory.</t>
  </si>
  <si>
    <t>Expected labels: Full Time, Part Time, Contract</t>
  </si>
  <si>
    <t>Dashboard uses human-readable labels, not database enum codes.</t>
  </si>
  <si>
    <t>The dashboard displayed raw codes FULL_TIME, PART_TIME and CONTRACT instead of user-friendly labels.</t>
  </si>
  <si>
    <t>P3 - Low</t>
  </si>
  <si>
    <t>HR-WEB-001</t>
  </si>
  <si>
    <t>Executed in the signed-in staging website using the final URL and visible DOM on 2026-08-15. Confirmed cosmetic/UX defect on the live HR Dashboard.</t>
  </si>
  <si>
    <t>HR-ADM-012</t>
  </si>
  <si>
    <t>Verify Staff by Role counts</t>
  </si>
  <si>
    <t>1. Review Staff by Role. 2. Compare the three assigned QA roles.</t>
  </si>
  <si>
    <t>HR Staff=1; Teacher=1; Student Services Staff=1</t>
  </si>
  <si>
    <t>Each assigned role count equals 1.</t>
  </si>
  <si>
    <t>The role panel showed HR Staff 1, Teacher 1 and Student Services Staff 1.</t>
  </si>
  <si>
    <t>HR-ADM-013</t>
  </si>
  <si>
    <t>Verify pending-leave empty state</t>
  </si>
  <si>
    <t>1. Review Pending Leave Requests with no leave data.</t>
  </si>
  <si>
    <t>No leave requests</t>
  </si>
  <si>
    <t>A clear zero-data message is shown.</t>
  </si>
  <si>
    <t>The panel displayed 'No pending leave requests' and 'Everything submitted has been actioned.'</t>
  </si>
  <si>
    <t>HR-ADM-014</t>
  </si>
  <si>
    <t>Verify dashboard quick actions</t>
  </si>
  <si>
    <t>1. Review Quick Actions. 2. Confirm View All Staff, View As Staff Member, Manage Staff Profiles and Manage Leave Requests links.</t>
  </si>
  <si>
    <t>/hr/staff/; /hr/view-as/; /hr/leave/</t>
  </si>
  <si>
    <t>All quick actions are visible and target the correct HR pages.</t>
  </si>
  <si>
    <t>All four quick actions were visible with the expected destinations.</t>
  </si>
  <si>
    <t>HR-ADM-015</t>
  </si>
  <si>
    <t>Staff Management</t>
  </si>
  <si>
    <t>Load Add Staff Member form</t>
  </si>
  <si>
    <t>1. Open /hr/staff/add/. 2. Confirm the page heading and account fields.</t>
  </si>
  <si>
    <t>https://staging.sahe-sms.neuronnest.com/hr/staff/add/</t>
  </si>
  <si>
    <t>The add form opens for Admin with no permission or server error.</t>
  </si>
  <si>
    <t>The Add Staff Member form opened with Account Information and the expected required fields.</t>
  </si>
  <si>
    <t>HR-ADM-016</t>
  </si>
  <si>
    <t>Verify the four-step staff wizard</t>
  </si>
  <si>
    <t>1. Complete Account fields. 2. Move through Employment, Roles &amp; Departments and Details. 3. Confirm Back/Next/Create controls.</t>
  </si>
  <si>
    <t>Four steps: Account; Employment; Roles &amp; Departments; Details</t>
  </si>
  <si>
    <t>The wizard exposes all four steps and preserves entered data while moving forward/back.</t>
  </si>
  <si>
    <t>All four steps rendered in order, navigation controls changed correctly and entered values were retained.</t>
  </si>
  <si>
    <t>HR-ADM-017</t>
  </si>
  <si>
    <t>Verify blank required fields block progress</t>
  </si>
  <si>
    <t>1. Open a fresh Add Staff form. 2. Leave required Account fields blank. 3. Select Next.</t>
  </si>
  <si>
    <t>Blank first name, last name, email and username</t>
  </si>
  <si>
    <t>The wizard remains on Account and does not advance.</t>
  </si>
  <si>
    <t>The page remained on Account Information and Employment Details did not become active.</t>
  </si>
  <si>
    <t>HR-ADM-018</t>
  </si>
  <si>
    <t>Create active Full Time HR QA staff</t>
  </si>
  <si>
    <t>1. Complete all required wizard steps with synthetic data. 2. Assign HR Staff and primary department HR. 3. Submit.</t>
  </si>
  <si>
    <t>QA-HR-260815-01; Active; Full Time; HR; HR Staff</t>
  </si>
  <si>
    <t>A new staff profile is created and the browser redirects to its profile.</t>
  </si>
  <si>
    <t>Creation succeeded and redirected to /hr/staff/1/ with title 'QA HR Alpha - Staff Profile - SAHE SMS'.</t>
  </si>
  <si>
    <t>HR-ADM-019</t>
  </si>
  <si>
    <t>Create On Leave Part Time IT QA staff</t>
  </si>
  <si>
    <t>1. Complete the wizard with a second synthetic profile. 2. Assign Teacher and primary department IT. 3. Submit.</t>
  </si>
  <si>
    <t>QA-HR-260815-02; On Leave; Part Time; IT; Teacher</t>
  </si>
  <si>
    <t>The second profile is created with the selected status, type, role and department.</t>
  </si>
  <si>
    <t>Creation succeeded and redirected to /hr/staff/2/; subsequent directory/profile checks showed the selected values.</t>
  </si>
  <si>
    <t>HR-ADM-020</t>
  </si>
  <si>
    <t>Create Inactive Contract Student Services QA staff</t>
  </si>
  <si>
    <t>1. Complete the wizard with a third synthetic profile. 2. Assign Student Services Staff and primary department Student Services. 3. Submit.</t>
  </si>
  <si>
    <t>QA-HR-260815-03; Inactive; Contract; Student Services</t>
  </si>
  <si>
    <t>The third profile is created with the selected values.</t>
  </si>
  <si>
    <t>Creation succeeded and redirected to /hr/staff/3/; subsequent directory/profile checks showed the selected values.</t>
  </si>
  <si>
    <t>HR-ADM-021</t>
  </si>
  <si>
    <t>Staff Directory</t>
  </si>
  <si>
    <t>Load directory and reconcile count</t>
  </si>
  <si>
    <t>1. Open /hr/staff/. 2. Confirm the title, filter bar, cards and total count.</t>
  </si>
  <si>
    <t>Three synthetic QA profiles</t>
  </si>
  <si>
    <t>Directory renders and reports 3 total.</t>
  </si>
  <si>
    <t>Staff Directory rendered its five filters, three staff cards and '3 total'.</t>
  </si>
  <si>
    <t>HR-ADM-022</t>
  </si>
  <si>
    <t>Search by exact employee ID</t>
  </si>
  <si>
    <t>1. Set Search to QA-HR-260815-01. 2. Apply Filter.</t>
  </si>
  <si>
    <t>search=QA-HR-260815-01</t>
  </si>
  <si>
    <t>Only the matching profile is returned.</t>
  </si>
  <si>
    <t>Only QA-HR-260815-01 was returned; the other two QA IDs were absent.</t>
  </si>
  <si>
    <t>HR-ADM-023</t>
  </si>
  <si>
    <t>Search by partial staff name</t>
  </si>
  <si>
    <t>1. Search for IT Beta. 2. Apply Filter.</t>
  </si>
  <si>
    <t>search=IT Beta</t>
  </si>
  <si>
    <t>Only the matching staff profile is returned.</t>
  </si>
  <si>
    <t>Only QA-HR-260815-02 (QA IT Beta) was returned.</t>
  </si>
  <si>
    <t>HR-ADM-024</t>
  </si>
  <si>
    <t>Search by email</t>
  </si>
  <si>
    <t>1. Search using the third synthetic email. 2. Apply Filter.</t>
  </si>
  <si>
    <t>qa.hr.gamma.260815@example.invalid</t>
  </si>
  <si>
    <t>Only QA-HR-260815-03 was returned.</t>
  </si>
  <si>
    <t>HR-ADM-025</t>
  </si>
  <si>
    <t>Search by position</t>
  </si>
  <si>
    <t>1. Search for Systems Tester. 2. Apply Filter.</t>
  </si>
  <si>
    <t>search=Systems Tester</t>
  </si>
  <si>
    <t>Only the profile whose position contains the search text is returned.</t>
  </si>
  <si>
    <t>Only QA-HR-260815-02 was returned.</t>
  </si>
  <si>
    <t>HR-ADM-026</t>
  </si>
  <si>
    <t>Handle script-like search text safely</t>
  </si>
  <si>
    <t>1. Search for &lt;script&gt;alert(1)&lt;/script&gt;. 2. Observe page behaviour and result state.</t>
  </si>
  <si>
    <t>Script-like search string</t>
  </si>
  <si>
    <t>The input is treated as search text, no script executes and the page remains stable.</t>
  </si>
  <si>
    <t>The directory remained stable, no alert executed and zero records were returned.</t>
  </si>
  <si>
    <t>HR-ADM-027</t>
  </si>
  <si>
    <t>Filter by every staff status</t>
  </si>
  <si>
    <t>1. Apply Active, On Leave, Inactive and Terminated separately. 2. Compare result IDs.</t>
  </si>
  <si>
    <t>ACTIVE; ON_LEAVE; INACTIVE; TERMINATED</t>
  </si>
  <si>
    <t>Each populated status returns its one QA profile; Terminated returns a clear empty state.</t>
  </si>
  <si>
    <t>Active returned 01, On Leave returned 02, Inactive returned 03, and Terminated returned 0 results without an error.</t>
  </si>
  <si>
    <t>HR-ADM-028</t>
  </si>
  <si>
    <t>Filter by every employment type</t>
  </si>
  <si>
    <t>1. Apply Full Time, Part Time, Contract and Casual separately. 2. Compare result IDs.</t>
  </si>
  <si>
    <t>FULL_TIME; PART_TIME; CONTRACT; CASUAL</t>
  </si>
  <si>
    <t>Each populated type returns its one QA profile; Casual returns a clear empty state.</t>
  </si>
  <si>
    <t>Full Time returned 01, Part Time returned 02, Contract returned 03, and Casual returned 0 results without an error.</t>
  </si>
  <si>
    <t>HR-ADM-029</t>
  </si>
  <si>
    <t>Filter by HR department</t>
  </si>
  <si>
    <t>1. Select HR in Department. 2. Apply Filter.</t>
  </si>
  <si>
    <t>department=HR</t>
  </si>
  <si>
    <t>Only the HR profile is returned.</t>
  </si>
  <si>
    <t>Only QA-HR-260815-01 was returned; the final query used department=7.</t>
  </si>
  <si>
    <t>HR-ADM-030</t>
  </si>
  <si>
    <t>Filter by IT department</t>
  </si>
  <si>
    <t>1. Select IT in Department. 2. Apply Filter.</t>
  </si>
  <si>
    <t>department=IT</t>
  </si>
  <si>
    <t>Only the IT profile is returned.</t>
  </si>
  <si>
    <t>Only QA-HR-260815-02 was returned; the final query used department=6.</t>
  </si>
  <si>
    <t>HR-ADM-031</t>
  </si>
  <si>
    <t>Filter by Student Services department</t>
  </si>
  <si>
    <t>1. Select Student Services. 2. Apply Filter.</t>
  </si>
  <si>
    <t>department=Student Services</t>
  </si>
  <si>
    <t>Only the Student Services profile is returned.</t>
  </si>
  <si>
    <t>Only QA-HR-260815-03 was returned; the final query used department=3.</t>
  </si>
  <si>
    <t>HR-ADM-032</t>
  </si>
  <si>
    <t>Filter by HR Staff role</t>
  </si>
  <si>
    <t>1. Select HR Staff in Role. 2. Apply Filter.</t>
  </si>
  <si>
    <t>role=HR Staff</t>
  </si>
  <si>
    <t>Only the HR Staff profile is returned.</t>
  </si>
  <si>
    <t>Only QA-HR-260815-01 was returned.</t>
  </si>
  <si>
    <t>HR-ADM-033</t>
  </si>
  <si>
    <t>Filter by Teacher role</t>
  </si>
  <si>
    <t>1. Select Teacher in Role. 2. Apply Filter.</t>
  </si>
  <si>
    <t>role=Teacher</t>
  </si>
  <si>
    <t>Only the Teacher profile is returned.</t>
  </si>
  <si>
    <t>HR-ADM-034</t>
  </si>
  <si>
    <t>Filter by Student Services Staff role</t>
  </si>
  <si>
    <t>1. Select Student Services Staff. 2. Apply Filter.</t>
  </si>
  <si>
    <t>role=Student Services Staff</t>
  </si>
  <si>
    <t>Only the Student Services Staff profile is returned.</t>
  </si>
  <si>
    <t>HR-ADM-035</t>
  </si>
  <si>
    <t>Combine search, status, type, department and role</t>
  </si>
  <si>
    <t>1. Search QA. 2. Select Active, Full Time, HR and HR Staff. 3. Apply Filter.</t>
  </si>
  <si>
    <t>search=QA; status=ACTIVE; employment_type=FULL_TIME; department=HR; role=HR Staff</t>
  </si>
  <si>
    <t>One matching profile is returned and all filter parameters remain in the URL.</t>
  </si>
  <si>
    <t>Only QA-HR-260815-01 was returned and all five parameters were preserved in the final URL.</t>
  </si>
  <si>
    <t>HR-ADM-036</t>
  </si>
  <si>
    <t>Staff Profile</t>
  </si>
  <si>
    <t>Verify active HR staff profile</t>
  </si>
  <si>
    <t>1. Open /hr/staff/1/. 2. Confirm identity, employee ID, status, type, department and role.</t>
  </si>
  <si>
    <t>QA-HR-260815-01</t>
  </si>
  <si>
    <t>Profile displays the values used during creation.</t>
  </si>
  <si>
    <t>The profile displayed QA HR Alpha, QA-HR-260815-01, Active, Full Time, HR and HR Staff.</t>
  </si>
  <si>
    <t>HR-ADM-037</t>
  </si>
  <si>
    <t>Verify On Leave IT staff profile</t>
  </si>
  <si>
    <t>1. Open /hr/staff/2/. 2. Confirm status, type, department and role.</t>
  </si>
  <si>
    <t>QA-HR-260815-02</t>
  </si>
  <si>
    <t>Profile displays On Leave, Part Time, IT and Teacher.</t>
  </si>
  <si>
    <t>The profile displayed QA IT Beta, QA-HR-260815-02, On Leave, Part Time, IT and Teacher.</t>
  </si>
  <si>
    <t>HR-ADM-038</t>
  </si>
  <si>
    <t>Verify Inactive Student Services staff profile</t>
  </si>
  <si>
    <t>1. Open /hr/staff/3/. 2. Confirm status, type, department and role.</t>
  </si>
  <si>
    <t>QA-HR-260815-03</t>
  </si>
  <si>
    <t>Profile displays Inactive, Contract, Student Services and Student Services Staff.</t>
  </si>
  <si>
    <t>The profile displayed QA Services Gamma, QA-HR-260815-03, Inactive, Contract, Student Services and Student Services Staff.</t>
  </si>
  <si>
    <t>HR-ADM-039</t>
  </si>
  <si>
    <t>Verify role and department sections</t>
  </si>
  <si>
    <t>1. Open the first staff profile. 2. Review Roles &amp; Departments.</t>
  </si>
  <si>
    <t>Assigned role and primary/additional department information are presented clearly.</t>
  </si>
  <si>
    <t>Roles &amp; Departments rendered and showed HR Staff plus the HR department assignment.</t>
  </si>
  <si>
    <t>HR-ADM-040</t>
  </si>
  <si>
    <t>Verify leave, document and teaching sections</t>
  </si>
  <si>
    <t>1. Open the first staff profile. 2. Review Leave Statistics, Leave Requests, Documents and Teaching Allocation.</t>
  </si>
  <si>
    <t>New QA profile with no related records</t>
  </si>
  <si>
    <t>All sections render safely and show zero/empty states where applicable.</t>
  </si>
  <si>
    <t>Leave Statistics, Leave Requests, Documents and Teaching Allocation all rendered without a server error and reflected the new profile's empty data.</t>
  </si>
  <si>
    <t>HR-ADM-041</t>
  </si>
  <si>
    <t>Load Edit Staff Member form</t>
  </si>
  <si>
    <t>1. Open /hr/staff/1/edit/. 2. Confirm existing data loads and all edit sections are available.</t>
  </si>
  <si>
    <t>https://staging.sahe-sms.neuronnest.com/hr/staff/1/edit/</t>
  </si>
  <si>
    <t>Admin can open the pre-populated edit form.</t>
  </si>
  <si>
    <t>Edit Staff Member opened and displayed Account Information, Employment Details and the remaining profile sections.</t>
  </si>
  <si>
    <t>HR-ADM-042</t>
  </si>
  <si>
    <t>Load Teaching Allocation page</t>
  </si>
  <si>
    <t>1. Open /hr/staff/1/teaching/. 2. Review current allocations and allocation form.</t>
  </si>
  <si>
    <t>QA staff has no class allocations</t>
  </si>
  <si>
    <t>A clear empty state and permitted allocation form are shown.</t>
  </si>
  <si>
    <t>The page displayed 'No classes allocated' and an Allocate Class form without an error.</t>
  </si>
  <si>
    <t>HR-ADM-043</t>
  </si>
  <si>
    <t>Leave Management</t>
  </si>
  <si>
    <t>Load Leave Requests and zero-state metrics</t>
  </si>
  <si>
    <t>1. Open /hr/leave/. 2. Review Pending, Approved, Rejected and Total metrics plus the table.</t>
  </si>
  <si>
    <t>All four metrics are zero and a clear empty state is shown.</t>
  </si>
  <si>
    <t>The Leave Requests page rendered all four metrics and 'No leave requests found'.</t>
  </si>
  <si>
    <t>HR-ADM-044</t>
  </si>
  <si>
    <t>Filter leave requests by status</t>
  </si>
  <si>
    <t>1. Apply Pending. 2. Apply Approved. 3. Confirm the page remains stable with no matching records.</t>
  </si>
  <si>
    <t>status=PENDING; status=APPROVED</t>
  </si>
  <si>
    <t>Each filter is retained and a clear no-results state is shown.</t>
  </si>
  <si>
    <t>Both status URLs loaded normally and displayed the no-results state.</t>
  </si>
  <si>
    <t>HR-ADM-045</t>
  </si>
  <si>
    <t>Filter leave by type and staff search</t>
  </si>
  <si>
    <t>1. Apply Annual leave type. 2. Search for QA-HR-260815-01. 3. Review results.</t>
  </si>
  <si>
    <t>leave_type=ANNUAL; search=QA-HR-260815-01</t>
  </si>
  <si>
    <t>Filters execute without error and show no matching requests.</t>
  </si>
  <si>
    <t>Both filtered pages loaded normally and showed no matching leave requests.</t>
  </si>
  <si>
    <t>HR-ADM-046</t>
  </si>
  <si>
    <t>Load Leave Balances with a valid year</t>
  </si>
  <si>
    <t>1. Open /hr/leave/balances/. 2. Apply year 2026.</t>
  </si>
  <si>
    <t>year=2026</t>
  </si>
  <si>
    <t>The balance ledger loads and shows a clear zero-data state.</t>
  </si>
  <si>
    <t>The page loaded with title 'Leave Balances - SAHE SMS' and displayed 'No balances for 2026'.</t>
  </si>
  <si>
    <t>HR-ADM-047</t>
  </si>
  <si>
    <t>Handle a non-numeric leave-balance year</t>
  </si>
  <si>
    <t>1. Open /hr/leave/balances/?year=abc. 2. Observe error handling.</t>
  </si>
  <si>
    <t>year=abc</t>
  </si>
  <si>
    <t>Invalid input is rejected or normalized with a user-friendly message; no technical error details are exposed.</t>
  </si>
  <si>
    <t>The site returned 'ValueError at /hr/leave/balances/' with DEBUG and traceback details.</t>
  </si>
  <si>
    <t>HR-WEB-002</t>
  </si>
  <si>
    <t>Executed in the signed-in staging website using the final URL and visible DOM on 2026-08-15. Confirmed input-validation and information-disclosure defect.</t>
  </si>
  <si>
    <t>HR-ADM-048</t>
  </si>
  <si>
    <t>Onboarding</t>
  </si>
  <si>
    <t>Load onboarding list for all QA staff</t>
  </si>
  <si>
    <t>1. Open /hr/onboarding/. 2. Confirm all three QA staff appear with progress values.</t>
  </si>
  <si>
    <t>Three synthetic QA staff</t>
  </si>
  <si>
    <t>All staff are represented in the onboarding list.</t>
  </si>
  <si>
    <t>All three QA employee IDs appeared on Staff Onboarding.</t>
  </si>
  <si>
    <t>HR-ADM-049</t>
  </si>
  <si>
    <t>Filter onboarding by progress status</t>
  </si>
  <si>
    <t>1. Apply Not Started. 2. Apply In Progress. 3. Apply Complete.</t>
  </si>
  <si>
    <t>not_started; in_progress; complete</t>
  </si>
  <si>
    <t>Not Started returns the new QA staff; In Progress and Complete show clear empty states.</t>
  </si>
  <si>
    <t>Not Started returned all three QA profiles; In Progress and Complete displayed 'No staff match this filter'.</t>
  </si>
  <si>
    <t>HR-ADM-050</t>
  </si>
  <si>
    <t>Open a staff onboarding checklist</t>
  </si>
  <si>
    <t>1. Open /hr/onboarding/1/. 2. Review progress and task state.</t>
  </si>
  <si>
    <t>The checklist renders and accurately reports zero configured tasks.</t>
  </si>
  <si>
    <t>Onboarding Checklist displayed QA HR Alpha, 0% and 0 / 0 tasks with 'No onboarding tasks'.</t>
  </si>
  <si>
    <t>HR-ADM-051</t>
  </si>
  <si>
    <t>Schedule</t>
  </si>
  <si>
    <t>Load Staff Schedule empty state</t>
  </si>
  <si>
    <t>1. Open /hr/schedule/. 2. Review table, filters and actions.</t>
  </si>
  <si>
    <t>No shifts</t>
  </si>
  <si>
    <t>The schedule loads with a clear no-shifts state and Add Shift action.</t>
  </si>
  <si>
    <t>Staff Schedule rendered, showed 'No shifts found' and displayed Add Shift.</t>
  </si>
  <si>
    <t>HR-ADM-052</t>
  </si>
  <si>
    <t>Verify schedule filter controls</t>
  </si>
  <si>
    <t>1. Review Staff, Campus and Shift Type filters. 2. Apply staff=1 and shift_type=MORNING separately. 3. Confirm stable empty results.</t>
  </si>
  <si>
    <t>staff=1; shift_type=MORNING</t>
  </si>
  <si>
    <t>All filters are available and empty filtered results do not error.</t>
  </si>
  <si>
    <t>The filter controls rendered and filtered schedule URLs remained stable with the no-shifts state.</t>
  </si>
  <si>
    <t>HR-ADM-053</t>
  </si>
  <si>
    <t>Load Schedule Conflicts report</t>
  </si>
  <si>
    <t>1. Open /hr/schedule/conflicts/. 2. Review count and empty state.</t>
  </si>
  <si>
    <t>No shifts or approved leave</t>
  </si>
  <si>
    <t>The report shows zero conflicts and a clear explanation.</t>
  </si>
  <si>
    <t>The report displayed Schedule Conflicts 0 and 'No scheduled shift overlaps an approved leave request.'</t>
  </si>
  <si>
    <t>HR-ADM-054</t>
  </si>
  <si>
    <t>Load Add Shift form</t>
  </si>
  <si>
    <t>1. Open /hr/schedule/new/. 2. Review Staff, Campus, Shift Type, day/time, date, status and notes fields.</t>
  </si>
  <si>
    <t>Three QA staff; no campus records</t>
  </si>
  <si>
    <t>The form loads with all expected fields and staff options.</t>
  </si>
  <si>
    <t>Add Shift rendered all expected fields and listed all three QA staff; Campus correctly had only the blank option.</t>
  </si>
  <si>
    <t>HR-ADM-055</t>
  </si>
  <si>
    <t>Compliance Documents</t>
  </si>
  <si>
    <t>Verify Staff Document Expiry page</t>
  </si>
  <si>
    <t>1. Open /hr/documents/expiry/. 2. Review configured expiry data state.</t>
  </si>
  <si>
    <t>No document expiry dates</t>
  </si>
  <si>
    <t>The page loads and explains that no expiry dates are configured.</t>
  </si>
  <si>
    <t>Staff Document Expiry loaded and displayed 'No expiry dates configured'.</t>
  </si>
  <si>
    <t>HR-ADM-056</t>
  </si>
  <si>
    <t>Verify Document Compliance report</t>
  </si>
  <si>
    <t>1. Open /hr/compliance/documents/. 2. Review summary and empty state.</t>
  </si>
  <si>
    <t>No role-based document requirements</t>
  </si>
  <si>
    <t>The report loads and directs Admin to configure requirements.</t>
  </si>
  <si>
    <t>Document Compliance loaded and displayed 'No role-based requirements' with a Requirement Rules link.</t>
  </si>
  <si>
    <t>HR-ADM-057</t>
  </si>
  <si>
    <t>Verify Document Requirement Rules</t>
  </si>
  <si>
    <t>1. Open /hr/compliance/requirements/. 2. Review rule list state.</t>
  </si>
  <si>
    <t>No requirement rules</t>
  </si>
  <si>
    <t>The rules page loads with a clear empty state.</t>
  </si>
  <si>
    <t>Document Requirement Rules loaded and displayed 'No requirement rules'.</t>
  </si>
  <si>
    <t>HR-ADM-058</t>
  </si>
  <si>
    <t>Training</t>
  </si>
  <si>
    <t>Verify training catalog, compliance, add form and transcript</t>
  </si>
  <si>
    <t>1. Open /hr/training/ and a category-filtered catalog. 2. Open /hr/training/compliance/. 3. Open /hr/training/add/. 4. Open /hr/training/staff/1/.</t>
  </si>
  <si>
    <t>No training courses or records</t>
  </si>
  <si>
    <t>All training pages render appropriate controls and zero-data states without server errors.</t>
  </si>
  <si>
    <t>Training Catalog showed no courses; category filtering remained stable; Training Compliance listed the active staff row; Add Training Course displayed all fields; the staff transcript showed no training records.</t>
  </si>
  <si>
    <t>HR-ADM-059</t>
  </si>
  <si>
    <t>Maps &amp; View As</t>
  </si>
  <si>
    <t>Verify staff map, location privacy, check-in and View As</t>
  </si>
  <si>
    <t>1. Open /hr/departments/. 2. Open /hr/location/map/. 3. Open /hr/location/check-in/. 4. Open /hr/view-as/.</t>
  </si>
  <si>
    <t>Three QA profiles; none opted into location tracking; Admin has no staff profile</t>
  </si>
  <si>
    <t>Org and View As pages list permitted staff; location pages protect privacy and show clear zero/unavailable states.</t>
  </si>
  <si>
    <t>Staff Map showed the active HR member; Location Map showed 0 on map and the privacy notice; Check-In explained Admin has no staff profile; View As listed all three QA staff choices.</t>
  </si>
  <si>
    <t>HR-ADM-060</t>
  </si>
  <si>
    <t>Error Handling</t>
  </si>
  <si>
    <t>Verify invalid HR record URLs use safe error pages</t>
  </si>
  <si>
    <t>1. Open invalid staff, onboarding, schedule, transcript and location-history IDs. 2. Review each response for framework details.</t>
  </si>
  <si>
    <t>/hr/staff/999999/; /hr/onboarding/999999/; /hr/schedule/999999/; /hr/training/staff/999999/; /hr/location/history/999999/</t>
  </si>
  <si>
    <t>A branded minimal 404 is shown without DEBUG settings, URL patterns or internal implementation details.</t>
  </si>
  <si>
    <t>All five invalid URLs displayed Django technical 'Page not found at ...' pages and explicitly exposed DEBUG information.</t>
  </si>
  <si>
    <t>HR-WEB-003</t>
  </si>
  <si>
    <t>Executed in the signed-in staging website using the final URL and visible DOM on 2026-08-15. Systemic staging error-page information disclosure.</t>
  </si>
  <si>
    <t>New ID</t>
  </si>
  <si>
    <t>AG-01</t>
  </si>
  <si>
    <t>Agency Onboarding</t>
  </si>
  <si>
    <t>Open the public Become an Agent form</t>
  </si>
  <si>
    <t>1. Log out
2. Open /agents/apply/
3. Observe the page</t>
  </si>
  <si>
    <t>No active login session</t>
  </si>
  <si>
    <t>Public browser session</t>
  </si>
  <si>
    <t>The onboarding form loads without authentication and displays the configured fields.</t>
  </si>
  <si>
    <t>The Become a SAHE Agent form opened successfully without login. The form fields and Submit button displayed with no access or system errors.</t>
  </si>
  <si>
    <t>Surakshya K.C.</t>
  </si>
  <si>
    <t>QA / Staging</t>
  </si>
  <si>
    <t>AG-02</t>
  </si>
  <si>
    <t>Submit a valid agency onboarding application</t>
  </si>
  <si>
    <t>1. Open Become an Agent
2. Complete every required field
3. Submit</t>
  </si>
  <si>
    <t>No existing onboarding record using the test data</t>
  </si>
  <si>
    <t>Everest Education QA 01; Maya Rai; unique test email; Nepal</t>
  </si>
  <si>
    <t>One AgentApplication is created with status Submitted and a confirmation page is displayed.</t>
  </si>
  <si>
    <t>The valid agency onboarding application submitted successfully and displayed the Application received confirmation page.</t>
  </si>
  <si>
    <t>AG-03</t>
  </si>
  <si>
    <t>Validate mandatory onboarding fields</t>
  </si>
  <si>
    <t>1. Leave the form empty
2. Submit
3. Review validation messages</t>
  </si>
  <si>
    <t>Public form is available</t>
  </si>
  <si>
    <t>Blank required fields</t>
  </si>
  <si>
    <t>Submission is blocked and required fields show clear errors.</t>
  </si>
  <si>
    <t>The empty form was not submitted. Required fields displayed This field is required messages and the user remained on the form.</t>
  </si>
  <si>
    <t>AG-04</t>
  </si>
  <si>
    <t>Reject an invalid contact email</t>
  </si>
  <si>
    <t>1. Complete the form
2. Enter a malformed email
3. Submit</t>
  </si>
  <si>
    <t>maya-at-example</t>
  </si>
  <si>
    <t>The form shows an email-format error and does not create a record.</t>
  </si>
  <si>
    <t>The malformed email was rejected with email validation and the form was not submitted.</t>
  </si>
  <si>
    <t>AG-05</t>
  </si>
  <si>
    <t>Verify confirmation page after submission</t>
  </si>
  <si>
    <t>1. Submit a valid application
2. Refresh the confirmation page</t>
  </si>
  <si>
    <t>Valid form data</t>
  </si>
  <si>
    <t>New agency application</t>
  </si>
  <si>
    <t>Refreshing keeps the confirmation page and does not resubmit the form.</t>
  </si>
  <si>
    <t>The Application received confirmation page remained visible after refresh. The form did not reopen and no resubmission prompt appeared.</t>
  </si>
  <si>
    <t>AG-06</t>
  </si>
  <si>
    <t>SAHE Review</t>
  </si>
  <si>
    <t>Open the agency review queue as staff</t>
  </si>
  <si>
    <t>1. Log in as superuser
2. Open Agency Applications</t>
  </si>
  <si>
    <t>A pending agency application exists</t>
  </si>
  <si>
    <t>Superuser account</t>
  </si>
  <si>
    <t>The review list loads and shows the submitted agency with its status.</t>
  </si>
  <si>
    <t>The Agency Applications review queue opened successfully. Everest Education QA 01 was listed with country, contact, submitted date, Submitted status, and a Review button.</t>
  </si>
  <si>
    <t>AG-07</t>
  </si>
  <si>
    <t>Open one onboarding application detail</t>
  </si>
  <si>
    <t>1. Open Agency Applications
2. Select Everest Education QA 01
3. Review details and controls</t>
  </si>
  <si>
    <t>Authorized reviewer; pending application exists</t>
  </si>
  <si>
    <t>Everest Education QA 01</t>
  </si>
  <si>
    <t>All submitted values display correctly with Approve and Reject controls.</t>
  </si>
  <si>
    <t>The detail page showed submitted agency, contact, country, city, background, and notes information. Approve &amp; provision and Reject controls were visible.</t>
  </si>
  <si>
    <t>AG-08</t>
  </si>
  <si>
    <t>SAHE Approval</t>
  </si>
  <si>
    <t>Approve a valid agency application</t>
  </si>
  <si>
    <t>1. Open pending application
2. Approve and provision
3. Verify profile and branch</t>
  </si>
  <si>
    <t>Submitted application; contact email is not linked to an AgentProfile</t>
  </si>
  <si>
    <t>Approval creates an AgentProfile, owner account, and Main HQ branch.</t>
  </si>
  <si>
    <t>Approval provisioned an Active Agent Profile and owner user account. Branch Offices showed one active Main branch marked HQ.</t>
  </si>
  <si>
    <t>AG-09</t>
  </si>
  <si>
    <t>Reject a pending agency application with notes</t>
  </si>
  <si>
    <t>1. Open pending application
2. Enter a rejection reason
3. Reject
4. Reopen</t>
  </si>
  <si>
    <t>Authorized reviewer; submitted record</t>
  </si>
  <si>
    <t>Sahe application; rejection reason</t>
  </si>
  <si>
    <t>Status becomes Rejected; note is retained; no profile or branch is created.</t>
  </si>
  <si>
    <t>The Sahe application was rejected successfully. The review note was saved when the application was reopened, and no agent profile or branch was created.</t>
  </si>
  <si>
    <t>AG-10</t>
  </si>
  <si>
    <t>Prevent approval of a rejected application</t>
  </si>
  <si>
    <t>1. Open rejected Sahe application
2. Inspect available actions</t>
  </si>
  <si>
    <t>Rejected onboarding application</t>
  </si>
  <si>
    <t>Rejected Sahe application</t>
  </si>
  <si>
    <t>Approval is blocked and no profile is created.</t>
  </si>
  <si>
    <t>The rejected application showed no Approve or Approve &amp; provision control and could not be approved through the normal UI.</t>
  </si>
  <si>
    <t>AG-11</t>
  </si>
  <si>
    <t>Prevent rejection of an approved application</t>
  </si>
  <si>
    <t>1. Open approved agent profile
2. Inspect available actions</t>
  </si>
  <si>
    <t>Approved agent profile exists</t>
  </si>
  <si>
    <t>The approved status and profile remain unchanged; rejection is unavailable.</t>
  </si>
  <si>
    <t>Everest Education QA 01 remained Active with a linked owner account. No Reject control was available on the profile page.</t>
  </si>
  <si>
    <t>AG-12</t>
  </si>
  <si>
    <t>Verify new agency is not publicly listed by default</t>
  </si>
  <si>
    <t>1. Approve an agency
2. Open public student application
3. Open Your agency dropdown</t>
  </si>
  <si>
    <t>Approved agency exists</t>
  </si>
  <si>
    <t>A newly approved agency does not appear until staff deliberately enable public listing.</t>
  </si>
  <si>
    <t>The public Your agency dropdown displayed Everest Education QA 01 immediately after approval, even though it had not been deliberately enabled for public listing.</t>
  </si>
  <si>
    <t>Bug: public-listing default is not enforced; verified with screenshot.</t>
  </si>
  <si>
    <t>AG-13</t>
  </si>
  <si>
    <t>SAHE Agent Administration</t>
  </si>
  <si>
    <t>List agents as authorized internal staff</t>
  </si>
  <si>
    <t>1. Log in as superuser
2. Open All Agents</t>
  </si>
  <si>
    <t>Several agencies exist</t>
  </si>
  <si>
    <t>Directory shows agency identity, status, and performance information.</t>
  </si>
  <si>
    <t>The All Agents directory loaded successfully and listed Everest Education QA 01 with country, contact, commission, Active status, and performance counts.</t>
  </si>
  <si>
    <t>AG-14</t>
  </si>
  <si>
    <t>Edit an existing agent</t>
  </si>
  <si>
    <t>1. Open agent detail
2. Edit permitted values
3. Save
4. Reopen</t>
  </si>
  <si>
    <t>Authorized staff; agency exists</t>
  </si>
  <si>
    <t>Updated contact, status, and commission values</t>
  </si>
  <si>
    <t>Permitted changes persist and display consistently.</t>
  </si>
  <si>
    <t>The agent changes persisted after saving and reopening, including Suspended status, updated contact details, and commission information.</t>
  </si>
  <si>
    <t>AG-15</t>
  </si>
  <si>
    <t>Verify inactive and suspended public visibility</t>
  </si>
  <si>
    <t>1. Set agency to Suspended
2. Check public agency dropdown
3. Set agency to Inactive
4. Check again</t>
  </si>
  <si>
    <t>Agency account exists</t>
  </si>
  <si>
    <t>Inactive and suspended agencies are not presented in the public agency picker.</t>
  </si>
  <si>
    <t>In both Suspended and Inactive statuses, Everest Education QA 01 did not appear in the public Your agency dropdown.</t>
  </si>
  <si>
    <t>AG-16</t>
  </si>
  <si>
    <t>Authentication &amp; Context</t>
  </si>
  <si>
    <t>Redirect unauthenticated visitor from agent dashboard</t>
  </si>
  <si>
    <t>1. Log out
2. Open /agents/dashboard/</t>
  </si>
  <si>
    <t>No login session</t>
  </si>
  <si>
    <t>Anonymous browser</t>
  </si>
  <si>
    <t>Visitor is redirected to login and no agent metrics are exposed.</t>
  </si>
  <si>
    <t>An unauthenticated visitor was redirected to the login page. No agent dashboard metrics or agency information were displayed.</t>
  </si>
  <si>
    <t>AG-17</t>
  </si>
  <si>
    <t>Branch Management</t>
  </si>
  <si>
    <t>Edit a branch</t>
  </si>
  <si>
    <t>1. Open Everest Education QA 01
2. Open Branches
3. Edit Main HQ contact phone
4. Save</t>
  </si>
  <si>
    <t>Admin access; Main HQ branch exists</t>
  </si>
  <si>
    <t>Phone: 9800000003</t>
  </si>
  <si>
    <t>Updated branch contact details persist and branch remains active.</t>
  </si>
  <si>
    <t>The Main HQ branch contact phone was updated to 9800000003. The Branch Offices list displayed the new number and the branch remained Active.</t>
  </si>
  <si>
    <t>AG-18</t>
  </si>
  <si>
    <t>Find the public Become a SAHE Agent form through website navigation</t>
  </si>
  <si>
    <t>1. Inspect the public website header, footer, and sidebar
2. Attempt to open the agent form from visible UI</t>
  </si>
  <si>
    <t>A visible public link or button opens the agent onboarding form.</t>
  </si>
  <si>
    <t>No visible navigation link, sidebar item, footer link, or public button opened the form. It was accessible only by manually entering /agents/apply/.</t>
  </si>
  <si>
    <t>Bug: public agency onboarding form is not discoverable through the website UI.</t>
  </si>
  <si>
    <t>SAHE SMS  |  Compliance and Audit  -  QA Test Cases</t>
  </si>
  <si>
    <t>COM-ADA-001</t>
  </si>
  <si>
    <t>Compliance Posture</t>
  </si>
  <si>
    <t xml:space="preserve">Verify Full Aging Report </t>
  </si>
  <si>
    <t>1.Log in as Admin
2.Navigate to Compliance and Audit&gt;Compliance Posture
3.Open Full aging report</t>
  </si>
  <si>
    <t>Open full aging report</t>
  </si>
  <si>
    <t>SAHE SMS  |  Settings  -  QA Test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</si>
</sst>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1">
    <font>
      <sz val="11"/>
      <color theme="1"/>
      <name val="Calibri"/>
      <family val="2"/>
      <charset val="1"/>
    </font>
    <font>
      <b/>
      <sz val="20"/>
      <color rgb="FFFFFFFF"/>
      <name val="Arial"/>
      <charset val="1"/>
    </font>
    <font>
      <i/>
      <sz val="11"/>
      <color rgb="FF404040"/>
      <name val="Arial"/>
      <charset val="1"/>
    </font>
    <font>
      <i/>
      <sz val="10"/>
      <color rgb="FF595959"/>
      <name val="Arial"/>
      <charset val="1"/>
    </font>
    <font>
      <b/>
      <u/>
      <sz val="11"/>
      <color rgb="FF1155CC"/>
      <name val="Arial"/>
      <charset val="1"/>
    </font>
    <font>
      <b/>
      <sz val="12"/>
      <color rgb="FFFFFFFF"/>
      <name val="Arial"/>
      <charset val="1"/>
    </font>
    <font>
      <b/>
      <sz val="10"/>
      <name val="Arial"/>
      <charset val="1"/>
    </font>
    <font>
      <b/>
      <sz val="10"/>
      <color rgb="FF9C6500"/>
      <name val="Arial"/>
      <charset val="1"/>
    </font>
    <font>
      <b/>
      <u/>
      <sz val="10"/>
      <color rgb="FF1155CC"/>
      <name val="Arial"/>
      <charset val="1"/>
    </font>
    <font>
      <b/>
      <sz val="10"/>
      <color rgb="FFFFFFFF"/>
      <name val="Arial"/>
      <charset val="1"/>
    </font>
    <font>
      <sz val="10"/>
      <name val="Arial"/>
      <charset val="1"/>
    </font>
    <font>
      <i/>
      <sz val="9"/>
      <color rgb="FF808080"/>
      <name val="Arial"/>
      <charset val="1"/>
    </font>
    <font>
      <b/>
      <sz val="16"/>
      <color rgb="FFFFFFFF"/>
      <name val="Arial"/>
      <charset val="1"/>
    </font>
    <font>
      <sz val="10"/>
      <color rgb="FF000000"/>
      <name val="Arial"/>
      <charset val="1"/>
    </font>
    <font>
      <b/>
      <sz val="9"/>
      <name val="Arial"/>
      <charset val="1"/>
    </font>
    <font>
      <sz val="9"/>
      <name val="Arial"/>
      <charset val="1"/>
    </font>
    <font>
      <i/>
      <sz val="9"/>
      <color rgb="FF595959"/>
      <name val="Arial"/>
      <charset val="1"/>
    </font>
    <font>
      <b/>
      <sz val="9"/>
      <color rgb="FF595959"/>
      <name val="Arial"/>
      <charset val="1"/>
    </font>
    <font>
      <b/>
      <sz val="9"/>
      <color rgb="FF9C6500"/>
      <name val="Arial"/>
      <charset val="1"/>
    </font>
    <font>
      <b/>
      <sz val="9"/>
      <color rgb="FF006100"/>
      <name val="Arial"/>
      <charset val="1"/>
    </font>
    <font>
      <b/>
      <sz val="9"/>
      <color rgb="FF9C0006"/>
      <name val="Arial"/>
      <charset val="1"/>
    </font>
    <font>
      <b/>
      <sz val="9"/>
      <color rgb="FFC65911"/>
      <name val="Arial"/>
      <charset val="1"/>
    </font>
    <font>
      <b/>
      <sz val="9"/>
      <color rgb="FF1F4E78"/>
      <name val="Arial"/>
      <charset val="1"/>
    </font>
    <font>
      <b/>
      <i/>
      <u/>
      <sz val="10"/>
      <color rgb="FF1155CC"/>
      <name val="Arial"/>
      <charset val="1"/>
    </font>
    <font>
      <b/>
      <i/>
      <sz val="10"/>
      <name val="Arial"/>
      <charset val="1"/>
    </font>
    <font>
      <sz val="10"/>
      <name val="Arial"/>
      <family val="2"/>
    </font>
    <font>
      <b/>
      <i/>
      <sz val="8"/>
      <color rgb="FF17233A"/>
      <name val="Carlito"/>
    </font>
    <font>
      <sz val="8"/>
      <color rgb="FF17233A"/>
      <name val="Carlito"/>
    </font>
    <font>
      <u/>
      <sz val="11"/>
      <color theme="10"/>
      <name val="Calibri"/>
      <family val="2"/>
      <charset val="1"/>
    </font>
    <font>
      <sz val="8"/>
      <name val="Arial"/>
      <charset val="1"/>
    </font>
    <font>
      <sz val="8"/>
      <color rgb="FF000000"/>
      <name val="Arial"/>
    </font>
    <font>
      <sz val="8"/>
      <color rgb="FF000000"/>
      <name val="Arial"/>
      <charset val="1"/>
    </font>
    <font>
      <u/>
      <sz val="8"/>
      <color theme="10"/>
      <name val="Calibri"/>
      <family val="2"/>
      <charset val="1"/>
    </font>
    <font>
      <b/>
      <sz val="14"/>
      <color rgb="FF000000"/>
      <name val="Calibri"/>
    </font>
    <font>
      <sz val="14"/>
      <color theme="1"/>
      <name val="Calibri"/>
      <family val="2"/>
      <charset val="1"/>
    </font>
    <font>
      <b/>
      <i/>
      <sz val="8"/>
      <color rgb="FF17233A"/>
      <name val="Carlito"/>
      <charset val="134"/>
    </font>
    <font>
      <sz val="8"/>
      <color rgb="FF17233A"/>
      <name val="Carlito"/>
      <charset val="134"/>
    </font>
    <font>
      <b/>
      <sz val="8"/>
      <color rgb="FF274E13"/>
      <name val="Carlito"/>
      <charset val="134"/>
    </font>
    <font>
      <sz val="8"/>
      <color rgb="FF6E5200"/>
      <name val="Carlito"/>
      <charset val="134"/>
    </font>
    <font>
      <b/>
      <sz val="8"/>
      <color rgb="FF990000"/>
      <name val="Carlito"/>
      <charset val="134"/>
    </font>
    <font>
      <b/>
      <sz val="8"/>
      <color rgb="FF7F6000"/>
      <name val="Carlito"/>
      <charset val="134"/>
    </font>
    <font>
      <sz val="8"/>
      <color rgb="FFFF0000"/>
      <name val="Carlito"/>
    </font>
    <font>
      <sz val="11"/>
      <color rgb="FF000000"/>
      <name val="Carlito"/>
    </font>
    <font>
      <sz val="8"/>
      <name val="Arial"/>
    </font>
    <font>
      <b/>
      <sz val="11"/>
      <color rgb="FFFFFFFF"/>
      <name val="Carlito"/>
    </font>
    <font>
      <sz val="11"/>
      <color rgb="FFC00000"/>
      <name val="Carlito"/>
    </font>
    <font>
      <sz val="11"/>
      <color rgb="FFFF0000"/>
      <name val="Carlito"/>
    </font>
    <font>
      <b/>
      <sz val="10"/>
      <color rgb="FFFFFFFF"/>
      <name val="Aptos"/>
    </font>
    <font>
      <i/>
      <sz val="11"/>
      <color rgb="FF17365D"/>
      <name val="Carlito"/>
    </font>
    <font>
      <sz val="11"/>
      <name val="Carlito"/>
    </font>
    <font>
      <b/>
      <sz val="11"/>
      <color rgb="FF0F4C81"/>
      <name val="Carlito"/>
    </font>
  </fonts>
  <fills count="32">
    <fill>
      <patternFill patternType="none"/>
    </fill>
    <fill>
      <patternFill patternType="gray125"/>
    </fill>
    <fill>
      <patternFill patternType="solid">
        <fgColor rgb="FF1F3864"/>
        <bgColor rgb="FF1F4E78"/>
      </patternFill>
    </fill>
    <fill>
      <patternFill patternType="solid">
        <fgColor rgb="FFD9E2F3"/>
        <bgColor rgb="FFDDEBF7"/>
      </patternFill>
    </fill>
    <fill>
      <patternFill patternType="solid">
        <fgColor rgb="FF2E5496"/>
        <bgColor rgb="FF1F4E78"/>
      </patternFill>
    </fill>
    <fill>
      <patternFill patternType="solid">
        <fgColor rgb="FFFFF2CC"/>
        <bgColor rgb="FFFCE4D6"/>
      </patternFill>
    </fill>
    <fill>
      <patternFill patternType="solid">
        <fgColor rgb="FFF2F2F2"/>
        <bgColor rgb="FFDDEBF7"/>
      </patternFill>
    </fill>
    <fill>
      <patternFill patternType="solid">
        <fgColor rgb="FFD9D9D9"/>
        <bgColor rgb="FFD9E2F3"/>
      </patternFill>
    </fill>
    <fill>
      <patternFill patternType="solid">
        <fgColor rgb="FFFFEB9C"/>
        <bgColor rgb="FFFFF2CC"/>
      </patternFill>
    </fill>
    <fill>
      <patternFill patternType="solid">
        <fgColor rgb="FFC6EFCE"/>
        <bgColor rgb="FFDDEBF7"/>
      </patternFill>
    </fill>
    <fill>
      <patternFill patternType="solid">
        <fgColor rgb="FFFFC7CE"/>
        <bgColor rgb="FFFCE4D6"/>
      </patternFill>
    </fill>
    <fill>
      <patternFill patternType="solid">
        <fgColor rgb="FFFCE4D6"/>
        <bgColor rgb="FFFFF2CC"/>
      </patternFill>
    </fill>
    <fill>
      <patternFill patternType="solid">
        <fgColor rgb="FFDDEBF7"/>
        <bgColor rgb="FFD9E2F3"/>
      </patternFill>
    </fill>
    <fill>
      <patternFill patternType="solid">
        <fgColor rgb="FFFFF4C2"/>
        <bgColor rgb="FF000000"/>
      </patternFill>
    </fill>
    <fill>
      <patternFill patternType="solid">
        <fgColor rgb="FFD9EEF8"/>
        <bgColor rgb="FF000000"/>
      </patternFill>
    </fill>
    <fill>
      <patternFill patternType="solid">
        <fgColor rgb="FFCDEAF6"/>
        <bgColor rgb="FF000000"/>
      </patternFill>
    </fill>
    <fill>
      <patternFill patternType="solid">
        <fgColor rgb="FFFFFFFF"/>
        <bgColor rgb="FF000000"/>
      </patternFill>
    </fill>
    <fill>
      <patternFill patternType="solid">
        <fgColor theme="6" tint="0.79998168889431442"/>
        <bgColor indexed="64"/>
      </patternFill>
    </fill>
    <fill>
      <patternFill patternType="solid">
        <fgColor rgb="FF00B050"/>
        <bgColor indexed="64"/>
      </patternFill>
    </fill>
    <fill>
      <patternFill patternType="solid">
        <fgColor rgb="FFFFF4C2"/>
        <bgColor indexed="64"/>
      </patternFill>
    </fill>
    <fill>
      <patternFill patternType="solid">
        <fgColor rgb="FFD9EEF8"/>
        <bgColor indexed="64"/>
      </patternFill>
    </fill>
    <fill>
      <patternFill patternType="solid">
        <fgColor rgb="FFCDEAF6"/>
        <bgColor indexed="64"/>
      </patternFill>
    </fill>
    <fill>
      <patternFill patternType="solid">
        <fgColor rgb="FFD9EAD3"/>
        <bgColor indexed="64"/>
      </patternFill>
    </fill>
    <fill>
      <patternFill patternType="solid">
        <fgColor rgb="FFFFFFFF"/>
        <bgColor indexed="64"/>
      </patternFill>
    </fill>
    <fill>
      <patternFill patternType="solid">
        <fgColor rgb="FFFADBD8"/>
        <bgColor indexed="64"/>
      </patternFill>
    </fill>
    <fill>
      <patternFill patternType="solid">
        <fgColor rgb="FFFCE5CD"/>
        <bgColor indexed="64"/>
      </patternFill>
    </fill>
    <fill>
      <patternFill patternType="solid">
        <fgColor rgb="FF4472C4"/>
        <bgColor rgb="FF000000"/>
      </patternFill>
    </fill>
    <fill>
      <patternFill patternType="solid">
        <fgColor rgb="FFF7FBFF"/>
        <bgColor rgb="FF000000"/>
      </patternFill>
    </fill>
    <fill>
      <patternFill patternType="solid">
        <fgColor rgb="FF0F4C81"/>
        <bgColor rgb="FF000000"/>
      </patternFill>
    </fill>
    <fill>
      <patternFill patternType="solid">
        <fgColor rgb="FFDCEAF7"/>
        <bgColor rgb="FF000000"/>
      </patternFill>
    </fill>
    <fill>
      <patternFill patternType="solid">
        <fgColor rgb="FFF28C28"/>
        <bgColor rgb="FF000000"/>
      </patternFill>
    </fill>
    <fill>
      <patternFill patternType="solid">
        <fgColor rgb="FFC0E6F5"/>
        <bgColor rgb="FFC0E6F5"/>
      </patternFill>
    </fill>
  </fills>
  <borders count="28">
    <border>
      <left/>
      <right/>
      <top/>
      <bottom/>
      <diagonal/>
    </border>
    <border>
      <left style="thin">
        <color rgb="FFBFBFBF"/>
      </left>
      <right style="thin">
        <color rgb="FFBFBFBF"/>
      </right>
      <top style="thin">
        <color rgb="FFBFBFBF"/>
      </top>
      <bottom style="thin">
        <color rgb="FFBFBFBF"/>
      </bottom>
      <diagonal/>
    </border>
    <border>
      <left style="thin">
        <color rgb="FFB8C5D6"/>
      </left>
      <right style="thin">
        <color rgb="FFB8C5D6"/>
      </right>
      <top style="thin">
        <color rgb="FFB8C5D6"/>
      </top>
      <bottom style="thin">
        <color rgb="FFB8C5D6"/>
      </bottom>
      <diagonal/>
    </border>
    <border>
      <left style="thin">
        <color rgb="FFBFBFBF"/>
      </left>
      <right style="thin">
        <color rgb="FFBFBFBF"/>
      </right>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
      <left style="thin">
        <color rgb="FF44B3E1"/>
      </left>
      <right style="thin">
        <color rgb="FFD9E2F3"/>
      </right>
      <top style="thin">
        <color rgb="FF44B3E1"/>
      </top>
      <bottom style="thin">
        <color rgb="FFD9E2F3"/>
      </bottom>
      <diagonal/>
    </border>
    <border>
      <left style="thin">
        <color rgb="FFD9E2F3"/>
      </left>
      <right style="thin">
        <color rgb="FFD9E2F3"/>
      </right>
      <top style="thin">
        <color rgb="FF44B3E1"/>
      </top>
      <bottom style="thin">
        <color rgb="FFD9E2F3"/>
      </bottom>
      <diagonal/>
    </border>
    <border>
      <left style="thin">
        <color rgb="FFD9E2F3"/>
      </left>
      <right style="thin">
        <color rgb="FF44B3E1"/>
      </right>
      <top style="thin">
        <color rgb="FF44B3E1"/>
      </top>
      <bottom style="thin">
        <color rgb="FFD9E2F3"/>
      </bottom>
      <diagonal/>
    </border>
    <border>
      <left style="thin">
        <color rgb="FF44B3E1"/>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style="thin">
        <color rgb="FF44B3E1"/>
      </right>
      <top style="thin">
        <color rgb="FFD9E2F3"/>
      </top>
      <bottom style="thin">
        <color rgb="FFD9E2F3"/>
      </bottom>
      <diagonal/>
    </border>
    <border>
      <left style="thin">
        <color rgb="FF7F8C8D"/>
      </left>
      <right/>
      <top style="thin">
        <color rgb="FF7F8C8D"/>
      </top>
      <bottom style="thin">
        <color rgb="FF44B3E1"/>
      </bottom>
      <diagonal/>
    </border>
    <border>
      <left/>
      <right/>
      <top style="thin">
        <color rgb="FF7F8C8D"/>
      </top>
      <bottom style="thin">
        <color rgb="FF44B3E1"/>
      </bottom>
      <diagonal/>
    </border>
    <border>
      <left/>
      <right style="thin">
        <color rgb="FF7F8C8D"/>
      </right>
      <top style="thin">
        <color rgb="FF7F8C8D"/>
      </top>
      <bottom style="thin">
        <color rgb="FF44B3E1"/>
      </bottom>
      <diagonal/>
    </border>
    <border>
      <left style="thin">
        <color rgb="FF7F8C8D"/>
      </left>
      <right/>
      <top style="thin">
        <color rgb="FF44B3E1"/>
      </top>
      <bottom style="thin">
        <color rgb="FFD9E2F3"/>
      </bottom>
      <diagonal/>
    </border>
    <border>
      <left/>
      <right/>
      <top style="thin">
        <color rgb="FF44B3E1"/>
      </top>
      <bottom style="thin">
        <color rgb="FFD9E2F3"/>
      </bottom>
      <diagonal/>
    </border>
    <border>
      <left/>
      <right style="thin">
        <color rgb="FF7F8C8D"/>
      </right>
      <top style="thin">
        <color rgb="FF44B3E1"/>
      </top>
      <bottom style="thin">
        <color rgb="FFD9E2F3"/>
      </bottom>
      <diagonal/>
    </border>
    <border>
      <left style="thin">
        <color rgb="FF7F8C8D"/>
      </left>
      <right/>
      <top style="thin">
        <color rgb="FFD9E2F3"/>
      </top>
      <bottom style="thin">
        <color rgb="FFD9E2F3"/>
      </bottom>
      <diagonal/>
    </border>
    <border>
      <left/>
      <right/>
      <top style="thin">
        <color rgb="FFD9E2F3"/>
      </top>
      <bottom style="thin">
        <color rgb="FFD9E2F3"/>
      </bottom>
      <diagonal/>
    </border>
    <border>
      <left/>
      <right style="thin">
        <color rgb="FF7F8C8D"/>
      </right>
      <top style="thin">
        <color rgb="FFD9E2F3"/>
      </top>
      <bottom style="thin">
        <color rgb="FFD9E2F3"/>
      </bottom>
      <diagonal/>
    </border>
    <border>
      <left style="thin">
        <color rgb="FF7F8C8D"/>
      </left>
      <right/>
      <top style="thin">
        <color rgb="FFD9E2F3"/>
      </top>
      <bottom style="thin">
        <color rgb="FF7F8C8D"/>
      </bottom>
      <diagonal/>
    </border>
    <border>
      <left/>
      <right/>
      <top style="thin">
        <color rgb="FFD9E2F3"/>
      </top>
      <bottom style="thin">
        <color rgb="FF7F8C8D"/>
      </bottom>
      <diagonal/>
    </border>
    <border>
      <left/>
      <right style="thin">
        <color rgb="FF7F8C8D"/>
      </right>
      <top style="thin">
        <color rgb="FFD9E2F3"/>
      </top>
      <bottom style="thin">
        <color rgb="FF7F8C8D"/>
      </bottom>
      <diagonal/>
    </border>
  </borders>
  <cellStyleXfs count="2">
    <xf numFmtId="0" fontId="0" fillId="0" borderId="0"/>
    <xf numFmtId="0" fontId="28" fillId="0" borderId="0" applyNumberFormat="0" applyFill="0" applyBorder="0" applyAlignment="0" applyProtection="0"/>
  </cellStyleXfs>
  <cellXfs count="126">
    <xf numFmtId="0" fontId="0" fillId="0" borderId="0" xfId="0"/>
    <xf numFmtId="0" fontId="9" fillId="4" borderId="0" xfId="0" applyFont="1" applyFill="1" applyAlignment="1">
      <alignment horizontal="left" vertical="center" indent="1"/>
    </xf>
    <xf numFmtId="0" fontId="4" fillId="0" borderId="0" xfId="0" applyFont="1"/>
    <xf numFmtId="0" fontId="6" fillId="0" borderId="0" xfId="0" applyFont="1"/>
    <xf numFmtId="0" fontId="8" fillId="0" borderId="0" xfId="0" applyFont="1"/>
    <xf numFmtId="0" fontId="9" fillId="2" borderId="1" xfId="0" applyFont="1" applyFill="1" applyBorder="1" applyAlignment="1">
      <alignment horizontal="center" vertical="center" wrapText="1"/>
    </xf>
    <xf numFmtId="0" fontId="10" fillId="0" borderId="1" xfId="0" applyFont="1" applyBorder="1" applyAlignment="1">
      <alignment horizontal="center" vertical="center"/>
    </xf>
    <xf numFmtId="0" fontId="6" fillId="0" borderId="1" xfId="0" applyFont="1" applyBorder="1" applyAlignment="1">
      <alignment horizontal="left" vertical="center" indent="1"/>
    </xf>
    <xf numFmtId="0" fontId="8" fillId="0" borderId="1" xfId="0" applyFont="1" applyBorder="1" applyAlignment="1">
      <alignment horizontal="center" vertical="center"/>
    </xf>
    <xf numFmtId="9" fontId="6" fillId="0" borderId="1" xfId="0" applyNumberFormat="1" applyFont="1" applyBorder="1" applyAlignment="1">
      <alignment horizontal="center" vertical="center"/>
    </xf>
    <xf numFmtId="0" fontId="10" fillId="6" borderId="1" xfId="0" applyFont="1" applyFill="1" applyBorder="1" applyAlignment="1">
      <alignment horizontal="center" vertical="center"/>
    </xf>
    <xf numFmtId="0" fontId="6" fillId="6" borderId="1" xfId="0" applyFont="1" applyFill="1" applyBorder="1" applyAlignment="1">
      <alignment horizontal="left" vertical="center" indent="1"/>
    </xf>
    <xf numFmtId="0" fontId="8" fillId="6" borderId="1" xfId="0" applyFont="1" applyFill="1" applyBorder="1" applyAlignment="1">
      <alignment horizontal="center" vertical="center"/>
    </xf>
    <xf numFmtId="9" fontId="6" fillId="6" borderId="1" xfId="0" applyNumberFormat="1" applyFont="1" applyFill="1" applyBorder="1" applyAlignment="1">
      <alignment horizontal="center" vertical="center"/>
    </xf>
    <xf numFmtId="0" fontId="0" fillId="0" borderId="1" xfId="0" applyBorder="1"/>
    <xf numFmtId="0" fontId="6" fillId="0" borderId="1" xfId="0" applyFont="1" applyBorder="1"/>
    <xf numFmtId="0" fontId="6" fillId="3" borderId="1" xfId="0" applyFont="1" applyFill="1" applyBorder="1" applyAlignment="1">
      <alignment horizontal="center" vertical="center"/>
    </xf>
    <xf numFmtId="9" fontId="6" fillId="3" borderId="1" xfId="0" applyNumberFormat="1" applyFont="1" applyFill="1" applyBorder="1" applyAlignment="1">
      <alignment horizontal="center" vertical="center"/>
    </xf>
    <xf numFmtId="0" fontId="14" fillId="0" borderId="1" xfId="0" applyFont="1" applyBorder="1" applyAlignment="1">
      <alignment horizontal="left" vertical="top" wrapText="1" indent="1"/>
    </xf>
    <xf numFmtId="0" fontId="0" fillId="7" borderId="1" xfId="0" applyFill="1" applyBorder="1"/>
    <xf numFmtId="0" fontId="17" fillId="7" borderId="1" xfId="0" applyFont="1" applyFill="1" applyBorder="1" applyAlignment="1">
      <alignment horizontal="left" vertical="center" indent="1"/>
    </xf>
    <xf numFmtId="0" fontId="0" fillId="8" borderId="1" xfId="0" applyFill="1" applyBorder="1"/>
    <xf numFmtId="0" fontId="18" fillId="8" borderId="1" xfId="0" applyFont="1" applyFill="1" applyBorder="1" applyAlignment="1">
      <alignment horizontal="left" vertical="center" indent="1"/>
    </xf>
    <xf numFmtId="0" fontId="0" fillId="9" borderId="1" xfId="0" applyFill="1" applyBorder="1"/>
    <xf numFmtId="0" fontId="19" fillId="9" borderId="1" xfId="0" applyFont="1" applyFill="1" applyBorder="1" applyAlignment="1">
      <alignment horizontal="left" vertical="center" indent="1"/>
    </xf>
    <xf numFmtId="0" fontId="0" fillId="10" borderId="1" xfId="0" applyFill="1" applyBorder="1"/>
    <xf numFmtId="0" fontId="20" fillId="10" borderId="1" xfId="0" applyFont="1" applyFill="1" applyBorder="1" applyAlignment="1">
      <alignment horizontal="left" vertical="center" indent="1"/>
    </xf>
    <xf numFmtId="0" fontId="0" fillId="11" borderId="1" xfId="0" applyFill="1" applyBorder="1"/>
    <xf numFmtId="0" fontId="21" fillId="11" borderId="1" xfId="0" applyFont="1" applyFill="1" applyBorder="1" applyAlignment="1">
      <alignment horizontal="left" vertical="center" indent="1"/>
    </xf>
    <xf numFmtId="0" fontId="0" fillId="12" borderId="1" xfId="0" applyFill="1" applyBorder="1"/>
    <xf numFmtId="0" fontId="22" fillId="12" borderId="1" xfId="0" applyFont="1" applyFill="1" applyBorder="1" applyAlignment="1">
      <alignment horizontal="left" vertical="center" indent="1"/>
    </xf>
    <xf numFmtId="0" fontId="9" fillId="4" borderId="1" xfId="0" applyFont="1" applyFill="1" applyBorder="1" applyAlignment="1">
      <alignment horizontal="center" vertical="center" wrapText="1"/>
    </xf>
    <xf numFmtId="0" fontId="24" fillId="5" borderId="1" xfId="0" applyFont="1" applyFill="1" applyBorder="1" applyAlignment="1">
      <alignment horizontal="left" vertical="center" wrapText="1"/>
    </xf>
    <xf numFmtId="0" fontId="13" fillId="5" borderId="1" xfId="0" applyFont="1" applyFill="1" applyBorder="1" applyAlignment="1">
      <alignment horizontal="left" vertical="center" wrapText="1"/>
    </xf>
    <xf numFmtId="0" fontId="10" fillId="0" borderId="1" xfId="0" applyFont="1" applyBorder="1" applyAlignment="1">
      <alignment horizontal="left" vertical="center" wrapText="1"/>
    </xf>
    <xf numFmtId="164" fontId="10" fillId="0" borderId="1" xfId="0" applyNumberFormat="1" applyFont="1" applyBorder="1" applyAlignment="1">
      <alignment horizontal="left" vertical="center" wrapText="1"/>
    </xf>
    <xf numFmtId="0" fontId="26" fillId="13" borderId="2" xfId="0" applyFont="1" applyFill="1" applyBorder="1" applyAlignment="1">
      <alignment wrapText="1"/>
    </xf>
    <xf numFmtId="0" fontId="27" fillId="14" borderId="2" xfId="0" applyFont="1" applyFill="1" applyBorder="1" applyAlignment="1">
      <alignment wrapText="1"/>
    </xf>
    <xf numFmtId="0" fontId="27" fillId="15" borderId="2" xfId="0" applyFont="1" applyFill="1" applyBorder="1" applyAlignment="1">
      <alignment wrapText="1"/>
    </xf>
    <xf numFmtId="14" fontId="27" fillId="14" borderId="2" xfId="0" applyNumberFormat="1" applyFont="1" applyFill="1" applyBorder="1" applyAlignment="1">
      <alignment wrapText="1"/>
    </xf>
    <xf numFmtId="0" fontId="27" fillId="16" borderId="2" xfId="0" applyFont="1" applyFill="1" applyBorder="1" applyAlignment="1">
      <alignment wrapText="1"/>
    </xf>
    <xf numFmtId="14" fontId="27" fillId="16" borderId="2" xfId="0" applyNumberFormat="1" applyFont="1" applyFill="1" applyBorder="1" applyAlignment="1">
      <alignment wrapText="1"/>
    </xf>
    <xf numFmtId="0" fontId="29" fillId="0" borderId="1" xfId="0" applyFont="1" applyBorder="1" applyAlignment="1">
      <alignment horizontal="left" vertical="center" wrapText="1"/>
    </xf>
    <xf numFmtId="0" fontId="30" fillId="0" borderId="1" xfId="0" applyFont="1" applyBorder="1" applyAlignment="1">
      <alignment horizontal="left" vertical="center" wrapText="1"/>
    </xf>
    <xf numFmtId="0" fontId="28" fillId="0" borderId="1" xfId="1" applyBorder="1" applyAlignment="1">
      <alignment horizontal="left" vertical="center" wrapText="1"/>
    </xf>
    <xf numFmtId="0" fontId="30" fillId="17" borderId="1" xfId="0" applyFont="1" applyFill="1" applyBorder="1" applyAlignment="1">
      <alignment horizontal="left" vertical="center" wrapText="1"/>
    </xf>
    <xf numFmtId="0" fontId="28" fillId="17" borderId="1" xfId="1" applyFill="1" applyBorder="1" applyAlignment="1">
      <alignment horizontal="left" vertical="center" wrapText="1"/>
    </xf>
    <xf numFmtId="0" fontId="31" fillId="17" borderId="0" xfId="0" applyFont="1" applyFill="1" applyAlignment="1">
      <alignment wrapText="1"/>
    </xf>
    <xf numFmtId="0" fontId="10" fillId="17" borderId="1" xfId="0" applyFont="1" applyFill="1" applyBorder="1" applyAlignment="1">
      <alignment horizontal="left" vertical="center" wrapText="1"/>
    </xf>
    <xf numFmtId="0" fontId="29" fillId="17" borderId="1" xfId="0" applyFont="1" applyFill="1" applyBorder="1" applyAlignment="1">
      <alignment horizontal="left" vertical="center" wrapText="1"/>
    </xf>
    <xf numFmtId="164" fontId="29" fillId="0" borderId="1" xfId="0" applyNumberFormat="1" applyFont="1" applyBorder="1" applyAlignment="1">
      <alignment horizontal="left" vertical="center" wrapText="1"/>
    </xf>
    <xf numFmtId="164" fontId="29" fillId="17" borderId="1" xfId="0" applyNumberFormat="1" applyFont="1" applyFill="1" applyBorder="1" applyAlignment="1">
      <alignment horizontal="left" vertical="center" wrapText="1"/>
    </xf>
    <xf numFmtId="0" fontId="32" fillId="17" borderId="1" xfId="1" applyFont="1" applyFill="1" applyBorder="1" applyAlignment="1">
      <alignment horizontal="left" vertical="center" wrapText="1"/>
    </xf>
    <xf numFmtId="0" fontId="32" fillId="0" borderId="1" xfId="1" applyFont="1" applyBorder="1" applyAlignment="1">
      <alignment horizontal="left" vertical="center" wrapText="1"/>
    </xf>
    <xf numFmtId="0" fontId="33" fillId="18" borderId="0" xfId="0" applyFont="1" applyFill="1"/>
    <xf numFmtId="0" fontId="34" fillId="0" borderId="0" xfId="0" applyFont="1"/>
    <xf numFmtId="0" fontId="30" fillId="17" borderId="4" xfId="0" applyFont="1" applyFill="1" applyBorder="1" applyAlignment="1">
      <alignment horizontal="left" vertical="center" wrapText="1"/>
    </xf>
    <xf numFmtId="0" fontId="29" fillId="0" borderId="6" xfId="0" applyFont="1" applyBorder="1" applyAlignment="1">
      <alignment horizontal="left" vertical="center" wrapText="1"/>
    </xf>
    <xf numFmtId="0" fontId="35" fillId="19" borderId="2" xfId="0" applyFont="1" applyFill="1" applyBorder="1" applyAlignment="1">
      <alignment wrapText="1"/>
    </xf>
    <xf numFmtId="0" fontId="36" fillId="20" borderId="2" xfId="0" applyFont="1" applyFill="1" applyBorder="1" applyAlignment="1">
      <alignment wrapText="1"/>
    </xf>
    <xf numFmtId="0" fontId="36" fillId="21" borderId="2" xfId="0" applyFont="1" applyFill="1" applyBorder="1" applyAlignment="1">
      <alignment wrapText="1"/>
    </xf>
    <xf numFmtId="0" fontId="37" fillId="22" borderId="2" xfId="0" applyFont="1" applyFill="1" applyBorder="1" applyAlignment="1">
      <alignment wrapText="1"/>
    </xf>
    <xf numFmtId="0" fontId="38" fillId="19" borderId="2" xfId="0" applyFont="1" applyFill="1" applyBorder="1" applyAlignment="1">
      <alignment wrapText="1"/>
    </xf>
    <xf numFmtId="14" fontId="36" fillId="20" borderId="2" xfId="0" applyNumberFormat="1" applyFont="1" applyFill="1" applyBorder="1" applyAlignment="1">
      <alignment wrapText="1"/>
    </xf>
    <xf numFmtId="0" fontId="36" fillId="23" borderId="2" xfId="0" applyFont="1" applyFill="1" applyBorder="1" applyAlignment="1">
      <alignment wrapText="1"/>
    </xf>
    <xf numFmtId="0" fontId="39" fillId="24" borderId="2" xfId="0" applyFont="1" applyFill="1" applyBorder="1" applyAlignment="1">
      <alignment wrapText="1"/>
    </xf>
    <xf numFmtId="14" fontId="36" fillId="23" borderId="2" xfId="0" applyNumberFormat="1" applyFont="1" applyFill="1" applyBorder="1" applyAlignment="1">
      <alignment wrapText="1"/>
    </xf>
    <xf numFmtId="0" fontId="40" fillId="25" borderId="2" xfId="0" applyFont="1" applyFill="1" applyBorder="1" applyAlignment="1">
      <alignment wrapText="1"/>
    </xf>
    <xf numFmtId="0" fontId="27" fillId="14" borderId="2" xfId="0" quotePrefix="1" applyFont="1" applyFill="1" applyBorder="1" applyAlignment="1">
      <alignment wrapText="1"/>
    </xf>
    <xf numFmtId="0" fontId="27" fillId="16" borderId="2" xfId="0" quotePrefix="1" applyFont="1" applyFill="1" applyBorder="1" applyAlignment="1">
      <alignment wrapText="1"/>
    </xf>
    <xf numFmtId="0" fontId="41" fillId="14" borderId="2" xfId="0" applyFont="1" applyFill="1" applyBorder="1" applyAlignment="1">
      <alignment wrapText="1"/>
    </xf>
    <xf numFmtId="0" fontId="41" fillId="16" borderId="2" xfId="0" applyFont="1" applyFill="1" applyBorder="1" applyAlignment="1">
      <alignment wrapText="1"/>
    </xf>
    <xf numFmtId="0" fontId="28" fillId="14" borderId="2" xfId="1" applyFill="1" applyBorder="1" applyAlignment="1">
      <alignment wrapText="1"/>
    </xf>
    <xf numFmtId="0" fontId="29" fillId="17" borderId="0" xfId="0" applyFont="1" applyFill="1" applyAlignment="1">
      <alignment horizontal="left" vertical="center" wrapText="1"/>
    </xf>
    <xf numFmtId="0" fontId="29" fillId="17" borderId="5" xfId="0" applyFont="1" applyFill="1" applyBorder="1" applyAlignment="1">
      <alignment horizontal="left" vertical="center" wrapText="1"/>
    </xf>
    <xf numFmtId="0" fontId="29" fillId="0" borderId="3" xfId="0" applyFont="1" applyBorder="1" applyAlignment="1">
      <alignment horizontal="left" vertical="center" wrapText="1"/>
    </xf>
    <xf numFmtId="0" fontId="43" fillId="0" borderId="1" xfId="0" applyFont="1" applyBorder="1" applyAlignment="1">
      <alignment horizontal="left" vertical="center" wrapText="1"/>
    </xf>
    <xf numFmtId="0" fontId="0" fillId="0" borderId="0" xfId="0" applyAlignment="1">
      <alignment wrapText="1"/>
    </xf>
    <xf numFmtId="0" fontId="42" fillId="27" borderId="14" xfId="0" applyFont="1" applyFill="1" applyBorder="1"/>
    <xf numFmtId="0" fontId="44" fillId="26" borderId="8" xfId="0" applyFont="1" applyFill="1" applyBorder="1"/>
    <xf numFmtId="0" fontId="42" fillId="27" borderId="11" xfId="0" applyFont="1" applyFill="1" applyBorder="1"/>
    <xf numFmtId="0" fontId="44" fillId="26" borderId="7" xfId="0" applyFont="1" applyFill="1" applyBorder="1"/>
    <xf numFmtId="0" fontId="44" fillId="26" borderId="9" xfId="0" applyFont="1" applyFill="1" applyBorder="1"/>
    <xf numFmtId="0" fontId="42" fillId="27" borderId="10" xfId="0" applyFont="1" applyFill="1" applyBorder="1"/>
    <xf numFmtId="14" fontId="42" fillId="27" borderId="11" xfId="0" applyNumberFormat="1" applyFont="1" applyFill="1" applyBorder="1"/>
    <xf numFmtId="0" fontId="42" fillId="27" borderId="12" xfId="0" applyFont="1" applyFill="1" applyBorder="1"/>
    <xf numFmtId="0" fontId="42" fillId="27" borderId="13" xfId="0" applyFont="1" applyFill="1" applyBorder="1"/>
    <xf numFmtId="14" fontId="42" fillId="27" borderId="14" xfId="0" applyNumberFormat="1" applyFont="1" applyFill="1" applyBorder="1"/>
    <xf numFmtId="0" fontId="42" fillId="27" borderId="15" xfId="0" applyFont="1" applyFill="1" applyBorder="1"/>
    <xf numFmtId="0" fontId="45" fillId="27" borderId="14" xfId="0" applyFont="1" applyFill="1" applyBorder="1"/>
    <xf numFmtId="0" fontId="46" fillId="27" borderId="14" xfId="0" applyFont="1" applyFill="1" applyBorder="1"/>
    <xf numFmtId="0" fontId="49" fillId="0" borderId="0" xfId="0" applyFont="1"/>
    <xf numFmtId="0" fontId="44" fillId="30" borderId="16" xfId="0" applyFont="1" applyFill="1" applyBorder="1"/>
    <xf numFmtId="0" fontId="44" fillId="30" borderId="17" xfId="0" applyFont="1" applyFill="1" applyBorder="1"/>
    <xf numFmtId="0" fontId="44" fillId="30" borderId="18" xfId="0" applyFont="1" applyFill="1" applyBorder="1"/>
    <xf numFmtId="0" fontId="50" fillId="31" borderId="19" xfId="0" applyFont="1" applyFill="1" applyBorder="1"/>
    <xf numFmtId="0" fontId="42" fillId="31" borderId="20" xfId="0" applyFont="1" applyFill="1" applyBorder="1"/>
    <xf numFmtId="0" fontId="42" fillId="31" borderId="21" xfId="0" applyFont="1" applyFill="1" applyBorder="1"/>
    <xf numFmtId="0" fontId="50" fillId="0" borderId="22" xfId="0" applyFont="1" applyBorder="1"/>
    <xf numFmtId="0" fontId="42" fillId="0" borderId="23" xfId="0" applyFont="1" applyBorder="1"/>
    <xf numFmtId="0" fontId="42" fillId="0" borderId="24" xfId="0" applyFont="1" applyBorder="1"/>
    <xf numFmtId="0" fontId="50" fillId="31" borderId="22" xfId="0" applyFont="1" applyFill="1" applyBorder="1"/>
    <xf numFmtId="0" fontId="42" fillId="31" borderId="23" xfId="0" applyFont="1" applyFill="1" applyBorder="1"/>
    <xf numFmtId="0" fontId="42" fillId="31" borderId="24" xfId="0" applyFont="1" applyFill="1" applyBorder="1"/>
    <xf numFmtId="0" fontId="50" fillId="0" borderId="25" xfId="0" applyFont="1" applyBorder="1"/>
    <xf numFmtId="0" fontId="42" fillId="0" borderId="26" xfId="0" applyFont="1" applyBorder="1"/>
    <xf numFmtId="0" fontId="42" fillId="0" borderId="27" xfId="0" applyFont="1" applyBorder="1"/>
    <xf numFmtId="0" fontId="48" fillId="29" borderId="0" xfId="0" applyFont="1" applyFill="1" applyAlignment="1">
      <alignment wrapText="1"/>
    </xf>
    <xf numFmtId="0" fontId="11" fillId="0" borderId="0" xfId="0" applyFont="1" applyAlignment="1">
      <alignment horizontal="left" vertical="center" wrapText="1" indent="1"/>
    </xf>
    <xf numFmtId="0" fontId="1" fillId="2" borderId="0" xfId="0" applyFont="1" applyFill="1" applyAlignment="1">
      <alignment horizontal="left" vertical="center" indent="1"/>
    </xf>
    <xf numFmtId="0" fontId="2" fillId="3" borderId="0" xfId="0" applyFont="1" applyFill="1" applyAlignment="1">
      <alignment horizontal="left" vertical="center" indent="1"/>
    </xf>
    <xf numFmtId="0" fontId="3" fillId="0" borderId="0" xfId="0" applyFont="1" applyAlignment="1">
      <alignment horizontal="left" vertical="center" indent="1"/>
    </xf>
    <xf numFmtId="0" fontId="5" fillId="4" borderId="0" xfId="0" applyFont="1" applyFill="1" applyAlignment="1">
      <alignment horizontal="left" vertical="center" indent="1"/>
    </xf>
    <xf numFmtId="0" fontId="7" fillId="5" borderId="1" xfId="0" applyFont="1" applyFill="1" applyBorder="1" applyAlignment="1">
      <alignment horizontal="center" vertical="center"/>
    </xf>
    <xf numFmtId="0" fontId="13" fillId="0" borderId="0" xfId="0" applyFont="1" applyAlignment="1">
      <alignment horizontal="left" vertical="top" wrapText="1" indent="1"/>
    </xf>
    <xf numFmtId="0" fontId="14" fillId="6" borderId="1" xfId="0" applyFont="1" applyFill="1" applyBorder="1" applyAlignment="1">
      <alignment horizontal="left" vertical="top" wrapText="1" indent="1"/>
    </xf>
    <xf numFmtId="0" fontId="15" fillId="5" borderId="1" xfId="0" applyFont="1" applyFill="1" applyBorder="1" applyAlignment="1">
      <alignment horizontal="left" vertical="top" wrapText="1" indent="1"/>
    </xf>
    <xf numFmtId="0" fontId="14" fillId="0" borderId="1" xfId="0" applyFont="1" applyBorder="1" applyAlignment="1">
      <alignment horizontal="left" vertical="center" indent="1"/>
    </xf>
    <xf numFmtId="0" fontId="15" fillId="0" borderId="1" xfId="0" applyFont="1" applyBorder="1" applyAlignment="1">
      <alignment horizontal="left" vertical="center" wrapText="1" indent="1"/>
    </xf>
    <xf numFmtId="0" fontId="15" fillId="0" borderId="1" xfId="0" applyFont="1" applyBorder="1" applyAlignment="1">
      <alignment horizontal="left" vertical="top" wrapText="1" indent="1"/>
    </xf>
    <xf numFmtId="0" fontId="16" fillId="0" borderId="1" xfId="0" applyFont="1" applyBorder="1" applyAlignment="1">
      <alignment horizontal="left" vertical="top" wrapText="1" indent="1"/>
    </xf>
    <xf numFmtId="0" fontId="9" fillId="4" borderId="0" xfId="0" applyFont="1" applyFill="1" applyAlignment="1">
      <alignment horizontal="left" vertical="center" indent="1"/>
    </xf>
    <xf numFmtId="0" fontId="12" fillId="2" borderId="0" xfId="0" applyFont="1" applyFill="1" applyAlignment="1">
      <alignment horizontal="left" vertical="center" indent="1"/>
    </xf>
    <xf numFmtId="0" fontId="23" fillId="3" borderId="0" xfId="0" applyFont="1" applyFill="1" applyAlignment="1">
      <alignment horizontal="left" vertical="center" wrapText="1" indent="1"/>
    </xf>
    <xf numFmtId="0" fontId="8" fillId="0" borderId="0" xfId="0" applyFont="1" applyAlignment="1"/>
    <xf numFmtId="0" fontId="47" fillId="28" borderId="0" xfId="0" applyFont="1" applyFill="1" applyAlignment="1"/>
  </cellXfs>
  <cellStyles count="2">
    <cellStyle name="Hyperlink" xfId="1" builtinId="8"/>
    <cellStyle name="Normal" xfId="0" builtinId="0"/>
  </cellStyles>
  <dxfs count="52">
    <dxf>
      <font>
        <b/>
        <color rgb="FFC00000"/>
      </font>
    </dxf>
    <dxf>
      <font>
        <b/>
        <color rgb="FF1F4E78"/>
      </font>
      <fill>
        <patternFill>
          <bgColor rgb="FFDDEBF7"/>
        </patternFill>
      </fill>
    </dxf>
    <dxf>
      <font>
        <color rgb="FF595959"/>
      </font>
      <fill>
        <patternFill>
          <bgColor rgb="FFD9D9D9"/>
        </patternFill>
      </fill>
    </dxf>
    <dxf>
      <font>
        <b/>
        <color rgb="FF9C6500"/>
      </font>
      <fill>
        <patternFill>
          <bgColor rgb="FFFFEB9C"/>
        </patternFill>
      </fill>
    </dxf>
    <dxf>
      <font>
        <b/>
        <color rgb="FFC65911"/>
      </font>
      <fill>
        <patternFill>
          <bgColor rgb="FFFCE4D6"/>
        </patternFill>
      </fill>
    </dxf>
    <dxf>
      <font>
        <b/>
        <color rgb="FF9C0006"/>
      </font>
      <fill>
        <patternFill>
          <bgColor rgb="FFFFC7CE"/>
        </patternFill>
      </fill>
    </dxf>
    <dxf>
      <font>
        <b/>
        <color rgb="FF006100"/>
      </font>
      <fill>
        <patternFill>
          <bgColor rgb="FFC6EFCE"/>
        </patternFill>
      </fill>
    </dxf>
    <dxf>
      <font>
        <b/>
        <color rgb="FFC00000"/>
      </font>
    </dxf>
    <dxf>
      <font>
        <b/>
        <color rgb="FF1F4E78"/>
      </font>
      <fill>
        <patternFill>
          <bgColor rgb="FFDDEBF7"/>
        </patternFill>
      </fill>
    </dxf>
    <dxf>
      <font>
        <color rgb="FF595959"/>
      </font>
      <fill>
        <patternFill>
          <bgColor rgb="FFD9D9D9"/>
        </patternFill>
      </fill>
    </dxf>
    <dxf>
      <font>
        <b/>
        <color rgb="FF9C6500"/>
      </font>
      <fill>
        <patternFill>
          <bgColor rgb="FFFFEB9C"/>
        </patternFill>
      </fill>
    </dxf>
    <dxf>
      <font>
        <b/>
        <color rgb="FFC65911"/>
      </font>
      <fill>
        <patternFill>
          <bgColor rgb="FFFCE4D6"/>
        </patternFill>
      </fill>
    </dxf>
    <dxf>
      <font>
        <b/>
        <color rgb="FF9C0006"/>
      </font>
      <fill>
        <patternFill>
          <bgColor rgb="FFFFC7CE"/>
        </patternFill>
      </fill>
    </dxf>
    <dxf>
      <font>
        <b/>
        <color rgb="FF006100"/>
      </font>
      <fill>
        <patternFill>
          <bgColor rgb="FFC6EFCE"/>
        </patternFill>
      </fill>
    </dxf>
    <dxf>
      <font>
        <b/>
        <color rgb="FFC00000"/>
      </font>
    </dxf>
    <dxf>
      <font>
        <b/>
        <color rgb="FF1F4E78"/>
      </font>
      <fill>
        <patternFill>
          <bgColor rgb="FFDDEBF7"/>
        </patternFill>
      </fill>
    </dxf>
    <dxf>
      <font>
        <color rgb="FF595959"/>
      </font>
      <fill>
        <patternFill>
          <bgColor rgb="FFD9D9D9"/>
        </patternFill>
      </fill>
    </dxf>
    <dxf>
      <font>
        <b/>
        <color rgb="FF9C6500"/>
      </font>
      <fill>
        <patternFill>
          <bgColor rgb="FFFFEB9C"/>
        </patternFill>
      </fill>
    </dxf>
    <dxf>
      <font>
        <b/>
        <color rgb="FFC65911"/>
      </font>
      <fill>
        <patternFill>
          <bgColor rgb="FFFCE4D6"/>
        </patternFill>
      </fill>
    </dxf>
    <dxf>
      <font>
        <b/>
        <color rgb="FF9C0006"/>
      </font>
      <fill>
        <patternFill>
          <bgColor rgb="FFFFC7CE"/>
        </patternFill>
      </fill>
    </dxf>
    <dxf>
      <font>
        <b/>
        <color rgb="FF006100"/>
      </font>
      <fill>
        <patternFill>
          <bgColor rgb="FFC6EFCE"/>
        </patternFill>
      </fill>
    </dxf>
    <dxf>
      <font>
        <b/>
        <color rgb="FFC00000"/>
      </font>
    </dxf>
    <dxf>
      <font>
        <b/>
        <color rgb="FF1F4E78"/>
      </font>
      <fill>
        <patternFill>
          <bgColor rgb="FFDDEBF7"/>
        </patternFill>
      </fill>
    </dxf>
    <dxf>
      <font>
        <color rgb="FF595959"/>
      </font>
      <fill>
        <patternFill>
          <bgColor rgb="FFD9D9D9"/>
        </patternFill>
      </fill>
    </dxf>
    <dxf>
      <font>
        <b/>
        <color rgb="FF9C6500"/>
      </font>
      <fill>
        <patternFill>
          <bgColor rgb="FFFFEB9C"/>
        </patternFill>
      </fill>
    </dxf>
    <dxf>
      <font>
        <b/>
        <color rgb="FFC65911"/>
      </font>
      <fill>
        <patternFill>
          <bgColor rgb="FFFCE4D6"/>
        </patternFill>
      </fill>
    </dxf>
    <dxf>
      <font>
        <b/>
        <color rgb="FF9C0006"/>
      </font>
      <fill>
        <patternFill>
          <bgColor rgb="FFFFC7CE"/>
        </patternFill>
      </fill>
    </dxf>
    <dxf>
      <font>
        <b/>
        <color rgb="FF006100"/>
      </font>
      <fill>
        <patternFill>
          <bgColor rgb="FFC6EFCE"/>
        </patternFill>
      </fill>
    </dxf>
    <dxf>
      <font>
        <b/>
        <color rgb="FFC00000"/>
      </font>
    </dxf>
    <dxf>
      <font>
        <b/>
        <color rgb="FF1F4E78"/>
      </font>
      <fill>
        <patternFill>
          <bgColor rgb="FFDDEBF7"/>
        </patternFill>
      </fill>
    </dxf>
    <dxf>
      <font>
        <color rgb="FF595959"/>
      </font>
      <fill>
        <patternFill>
          <bgColor rgb="FFD9D9D9"/>
        </patternFill>
      </fill>
    </dxf>
    <dxf>
      <font>
        <b/>
        <color rgb="FF9C6500"/>
      </font>
      <fill>
        <patternFill>
          <bgColor rgb="FFFFEB9C"/>
        </patternFill>
      </fill>
    </dxf>
    <dxf>
      <font>
        <b/>
        <color rgb="FFC65911"/>
      </font>
      <fill>
        <patternFill>
          <bgColor rgb="FFFCE4D6"/>
        </patternFill>
      </fill>
    </dxf>
    <dxf>
      <font>
        <b/>
        <color rgb="FF9C0006"/>
      </font>
      <fill>
        <patternFill>
          <bgColor rgb="FFFFC7CE"/>
        </patternFill>
      </fill>
    </dxf>
    <dxf>
      <font>
        <b/>
        <color rgb="FF006100"/>
      </font>
      <fill>
        <patternFill>
          <bgColor rgb="FFC6EFCE"/>
        </patternFill>
      </fill>
    </dxf>
    <dxf>
      <font>
        <b/>
        <color rgb="FFC00000"/>
      </font>
    </dxf>
    <dxf>
      <font>
        <b/>
        <color rgb="FF1F4E78"/>
      </font>
      <fill>
        <patternFill>
          <bgColor rgb="FFDDEBF7"/>
        </patternFill>
      </fill>
    </dxf>
    <dxf>
      <font>
        <color rgb="FF595959"/>
      </font>
      <fill>
        <patternFill>
          <bgColor rgb="FFD9D9D9"/>
        </patternFill>
      </fill>
    </dxf>
    <dxf>
      <font>
        <b/>
        <color rgb="FF9C6500"/>
      </font>
      <fill>
        <patternFill>
          <bgColor rgb="FFFFEB9C"/>
        </patternFill>
      </fill>
    </dxf>
    <dxf>
      <font>
        <b/>
        <color rgb="FFC65911"/>
      </font>
      <fill>
        <patternFill>
          <bgColor rgb="FFFCE4D6"/>
        </patternFill>
      </fill>
    </dxf>
    <dxf>
      <font>
        <b/>
        <color rgb="FF9C0006"/>
      </font>
      <fill>
        <patternFill>
          <bgColor rgb="FFFFC7CE"/>
        </patternFill>
      </fill>
    </dxf>
    <dxf>
      <font>
        <b/>
        <color rgb="FF006100"/>
      </font>
      <fill>
        <patternFill>
          <bgColor rgb="FFC6EFCE"/>
        </patternFill>
      </fill>
    </dxf>
    <dxf>
      <font>
        <b/>
        <color rgb="FFC00000"/>
      </font>
    </dxf>
    <dxf>
      <font>
        <b/>
        <color rgb="FF1F4E78"/>
      </font>
      <fill>
        <patternFill>
          <bgColor rgb="FFDDEBF7"/>
        </patternFill>
      </fill>
    </dxf>
    <dxf>
      <font>
        <color rgb="FF595959"/>
      </font>
      <fill>
        <patternFill>
          <bgColor rgb="FFD9D9D9"/>
        </patternFill>
      </fill>
    </dxf>
    <dxf>
      <font>
        <b/>
        <color rgb="FF9C6500"/>
      </font>
      <fill>
        <patternFill>
          <bgColor rgb="FFFFEB9C"/>
        </patternFill>
      </fill>
    </dxf>
    <dxf>
      <font>
        <b/>
        <color rgb="FFC65911"/>
      </font>
      <fill>
        <patternFill>
          <bgColor rgb="FFFCE4D6"/>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9C0006"/>
      </font>
      <fill>
        <patternFill>
          <bgColor rgb="FFFFC7CE"/>
        </patternFill>
      </fill>
    </dxf>
    <dxf>
      <font>
        <b/>
        <color rgb="FF006100"/>
      </font>
      <fill>
        <patternFill>
          <bgColor rgb="FFC6EF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6100"/>
      <rgbColor rgb="FF000080"/>
      <rgbColor rgb="FF9C6500"/>
      <rgbColor rgb="FF800080"/>
      <rgbColor rgb="FF1F4E78"/>
      <rgbColor rgb="FFBFBFBF"/>
      <rgbColor rgb="FF808080"/>
      <rgbColor rgb="FF9999FF"/>
      <rgbColor rgb="FF993366"/>
      <rgbColor rgb="FFFFF2CC"/>
      <rgbColor rgb="FFDDEBF7"/>
      <rgbColor rgb="FF660066"/>
      <rgbColor rgb="FFFF8080"/>
      <rgbColor rgb="FF1155CC"/>
      <rgbColor rgb="FFD9D9D9"/>
      <rgbColor rgb="FF000080"/>
      <rgbColor rgb="FFFF00FF"/>
      <rgbColor rgb="FFFFFF00"/>
      <rgbColor rgb="FF00FFFF"/>
      <rgbColor rgb="FF800080"/>
      <rgbColor rgb="FF800000"/>
      <rgbColor rgb="FF008080"/>
      <rgbColor rgb="FF0000FF"/>
      <rgbColor rgb="FF00CCFF"/>
      <rgbColor rgb="FFF2F2F2"/>
      <rgbColor rgb="FFC6EFCE"/>
      <rgbColor rgb="FFFFEB9C"/>
      <rgbColor rgb="FFD9E2F3"/>
      <rgbColor rgb="FFFCE4D6"/>
      <rgbColor rgb="FFCC99FF"/>
      <rgbColor rgb="FFFFC7CE"/>
      <rgbColor rgb="FF2E75B6"/>
      <rgbColor rgb="FF33CCCC"/>
      <rgbColor rgb="FF99CC00"/>
      <rgbColor rgb="FFFFCC00"/>
      <rgbColor rgb="FFBF8F00"/>
      <rgbColor rgb="FFC65911"/>
      <rgbColor rgb="FF595959"/>
      <rgbColor rgb="FF969696"/>
      <rgbColor rgb="FF1F3864"/>
      <rgbColor rgb="FF339966"/>
      <rgbColor rgb="FF003300"/>
      <rgbColor rgb="FF333300"/>
      <rgbColor rgb="FF993300"/>
      <rgbColor rgb="FF993366"/>
      <rgbColor rgb="FF2E5496"/>
      <rgbColor rgb="FF404040"/>
      <rgbColor rgb="00003366"/>
      <rgbColor rgb="00339966"/>
      <rgbColor rgb="00003300"/>
      <rgbColor rgb="00333300"/>
      <rgbColor rgb="00993300"/>
      <rgbColor rgb="00993366"/>
      <rgbColor rgb="00333399"/>
      <rgbColor rgb="00333333"/>
    </indexedColors>
    <mruColors>
      <color rgb="FF8222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SAHE_SMS_QA_Tracker.xlsx" TargetMode="External"/><Relationship Id="rId3" Type="http://schemas.openxmlformats.org/officeDocument/2006/relationships/hyperlink" Target="SAHE_SMS_QA_Tracker.xlsx" TargetMode="External"/><Relationship Id="rId7" Type="http://schemas.openxmlformats.org/officeDocument/2006/relationships/hyperlink" Target="SAHE_SMS_QA_Tracker.xlsx" TargetMode="External"/><Relationship Id="rId2" Type="http://schemas.openxmlformats.org/officeDocument/2006/relationships/hyperlink" Target="SAHE_SMS_QA_Tracker.xlsx" TargetMode="External"/><Relationship Id="rId1" Type="http://schemas.openxmlformats.org/officeDocument/2006/relationships/hyperlink" Target="SAHE_SMS_QA_Tracker.xlsx" TargetMode="External"/><Relationship Id="rId6" Type="http://schemas.openxmlformats.org/officeDocument/2006/relationships/hyperlink" Target="SAHE_SMS_QA_Tracker.xlsx" TargetMode="External"/><Relationship Id="rId5" Type="http://schemas.openxmlformats.org/officeDocument/2006/relationships/hyperlink" Target="SAHE_SMS_QA_Tracker.xlsx" TargetMode="External"/><Relationship Id="rId10" Type="http://schemas.openxmlformats.org/officeDocument/2006/relationships/hyperlink" Target="SAHE_SMS_QA_Tracker.xlsx" TargetMode="External"/><Relationship Id="rId4" Type="http://schemas.openxmlformats.org/officeDocument/2006/relationships/hyperlink" Target="SAHE_SMS_QA_Tracker.xlsx" TargetMode="External"/><Relationship Id="rId9" Type="http://schemas.openxmlformats.org/officeDocument/2006/relationships/hyperlink" Target="SAHE_SMS_QA_Tracker.xlsx"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SAHE_SMS_QA_Tracker.xlsx" TargetMode="Externa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staging.sahe-sms.neuronnest.com/analytics/tickets/" TargetMode="External"/><Relationship Id="rId1" Type="http://schemas.openxmlformats.org/officeDocument/2006/relationships/hyperlink" Target="SAHE_SMS_QA_Tracker.xlsx" TargetMode="Externa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3" Type="http://schemas.openxmlformats.org/officeDocument/2006/relationships/hyperlink" Target="https://staging.sahe-sms.neuronnest.com/academics/requisites/new/" TargetMode="External"/><Relationship Id="rId18" Type="http://schemas.openxmlformats.org/officeDocument/2006/relationships/hyperlink" Target="https://staging.sahe-sms.neuronnest.com/academics/requisites/" TargetMode="External"/><Relationship Id="rId26" Type="http://schemas.openxmlformats.org/officeDocument/2006/relationships/hyperlink" Target="https://staging.sahe-sms.neuronnest.com/academics/majors/4/delete/" TargetMode="External"/><Relationship Id="rId39" Type="http://schemas.openxmlformats.org/officeDocument/2006/relationships/hyperlink" Target="https://staging.sahe-sms.neuronnest.com/academics/cost-analysis/" TargetMode="External"/><Relationship Id="rId21" Type="http://schemas.openxmlformats.org/officeDocument/2006/relationships/hyperlink" Target="https://staging.sahe-sms.neuronnest.com/academics/majors/new/" TargetMode="External"/><Relationship Id="rId34" Type="http://schemas.openxmlformats.org/officeDocument/2006/relationships/hyperlink" Target="https://staging.sahe-sms.neuronnest.com/academics/intakes/new/" TargetMode="External"/><Relationship Id="rId7" Type="http://schemas.openxmlformats.org/officeDocument/2006/relationships/hyperlink" Target="https://staging.sahe-sms.neuronnest.com/academics/subjects/" TargetMode="External"/><Relationship Id="rId2" Type="http://schemas.openxmlformats.org/officeDocument/2006/relationships/hyperlink" Target="https://staging.sahe-sms.neuronnest.com/academics/new/" TargetMode="External"/><Relationship Id="rId16" Type="http://schemas.openxmlformats.org/officeDocument/2006/relationships/hyperlink" Target="https://staging.sahe-sms.neuronnest.com/academics/requisites/20/delete/" TargetMode="External"/><Relationship Id="rId20" Type="http://schemas.openxmlformats.org/officeDocument/2006/relationships/hyperlink" Target="https://staging.sahe-sms.neuronnest.com/academics/majors/" TargetMode="External"/><Relationship Id="rId29" Type="http://schemas.openxmlformats.org/officeDocument/2006/relationships/hyperlink" Target="https://staging.sahe-sms.neuronnest.com/academics/major-structures/3/edit/" TargetMode="External"/><Relationship Id="rId41" Type="http://schemas.openxmlformats.org/officeDocument/2006/relationships/comments" Target="../comments2.xml"/><Relationship Id="rId1" Type="http://schemas.openxmlformats.org/officeDocument/2006/relationships/hyperlink" Target="SAHE_SMS_QA_Tracker.xlsx" TargetMode="External"/><Relationship Id="rId6" Type="http://schemas.openxmlformats.org/officeDocument/2006/relationships/hyperlink" Target="https://staging.sahe-sms.neuronnest.com/academics/subjects/" TargetMode="External"/><Relationship Id="rId11" Type="http://schemas.openxmlformats.org/officeDocument/2006/relationships/hyperlink" Target="https://staging.sahe-sms.neuronnest.com/academics/subjects/63/delete/" TargetMode="External"/><Relationship Id="rId24" Type="http://schemas.openxmlformats.org/officeDocument/2006/relationships/hyperlink" Target="https://staging.sahe-sms.neuronnest.com/academics/majors/3/edit/" TargetMode="External"/><Relationship Id="rId32" Type="http://schemas.openxmlformats.org/officeDocument/2006/relationships/hyperlink" Target="https://staging.sahe-sms.neuronnest.com/academics/intakes/" TargetMode="External"/><Relationship Id="rId37" Type="http://schemas.openxmlformats.org/officeDocument/2006/relationships/hyperlink" Target="https://staging.sahe-sms.neuronnest.com/academics/holidays/" TargetMode="External"/><Relationship Id="rId40" Type="http://schemas.openxmlformats.org/officeDocument/2006/relationships/vmlDrawing" Target="../drawings/vmlDrawing2.vml"/><Relationship Id="rId5" Type="http://schemas.openxmlformats.org/officeDocument/2006/relationships/hyperlink" Target="https://staging.sahe-sms.neuronnest.com/academics/subjects/new/" TargetMode="External"/><Relationship Id="rId15" Type="http://schemas.openxmlformats.org/officeDocument/2006/relationships/hyperlink" Target="https://staging.sahe-sms.neuronnest.com/academics/requisites/19/edit/" TargetMode="External"/><Relationship Id="rId23" Type="http://schemas.openxmlformats.org/officeDocument/2006/relationships/hyperlink" Target="https://staging.sahe-sms.neuronnest.com/academics/majors/3/" TargetMode="External"/><Relationship Id="rId28" Type="http://schemas.openxmlformats.org/officeDocument/2006/relationships/hyperlink" Target="https://staging.sahe-sms.neuronnest.com/academics/major-structures/" TargetMode="External"/><Relationship Id="rId36" Type="http://schemas.openxmlformats.org/officeDocument/2006/relationships/hyperlink" Target="https://staging.sahe-sms.neuronnest.com/academics/holidays/" TargetMode="External"/><Relationship Id="rId10" Type="http://schemas.openxmlformats.org/officeDocument/2006/relationships/hyperlink" Target="https://staging.sahe-sms.neuronnest.com/academics/subjects/" TargetMode="External"/><Relationship Id="rId19" Type="http://schemas.openxmlformats.org/officeDocument/2006/relationships/hyperlink" Target="https://staging.sahe-sms.neuronnest.com/academics/requisites/" TargetMode="External"/><Relationship Id="rId31" Type="http://schemas.openxmlformats.org/officeDocument/2006/relationships/hyperlink" Target="https://staging.sahe-sms.neuronnest.com/academics/major-structures/" TargetMode="External"/><Relationship Id="rId4" Type="http://schemas.openxmlformats.org/officeDocument/2006/relationships/hyperlink" Target="https://staging.sahe-sms.neuronnest.com/academics/" TargetMode="External"/><Relationship Id="rId9" Type="http://schemas.openxmlformats.org/officeDocument/2006/relationships/hyperlink" Target="https://staging.sahe-sms.neuronnest.com/academics/subjects/2/edit/" TargetMode="External"/><Relationship Id="rId14" Type="http://schemas.openxmlformats.org/officeDocument/2006/relationships/hyperlink" Target="https://staging.sahe-sms.neuronnest.com/academics/requisites/19/" TargetMode="External"/><Relationship Id="rId22" Type="http://schemas.openxmlformats.org/officeDocument/2006/relationships/hyperlink" Target="https://staging.sahe-sms.neuronnest.com/academics/majors/3/" TargetMode="External"/><Relationship Id="rId27" Type="http://schemas.openxmlformats.org/officeDocument/2006/relationships/hyperlink" Target="https://staging.sahe-sms.neuronnest.com/academics/major-structures/" TargetMode="External"/><Relationship Id="rId30" Type="http://schemas.openxmlformats.org/officeDocument/2006/relationships/hyperlink" Target="https://staging.sahe-sms.neuronnest.com/academics/major-structures/3/delete/" TargetMode="External"/><Relationship Id="rId35" Type="http://schemas.openxmlformats.org/officeDocument/2006/relationships/hyperlink" Target="https://staging.sahe-sms.neuronnest.com/academics/intakes/" TargetMode="External"/><Relationship Id="rId8" Type="http://schemas.openxmlformats.org/officeDocument/2006/relationships/hyperlink" Target="https://staging.sahe-sms.neuronnest.com/academics/subjects/2/" TargetMode="External"/><Relationship Id="rId3" Type="http://schemas.openxmlformats.org/officeDocument/2006/relationships/hyperlink" Target="https://staging.sahe-sms.neuronnest.com/academics/" TargetMode="External"/><Relationship Id="rId12" Type="http://schemas.openxmlformats.org/officeDocument/2006/relationships/hyperlink" Target="https://staging.sahe-sms.neuronnest.com/academics/subjects/" TargetMode="External"/><Relationship Id="rId17" Type="http://schemas.openxmlformats.org/officeDocument/2006/relationships/hyperlink" Target="https://staging.sahe-sms.neuronnest.com/academics/requisites/" TargetMode="External"/><Relationship Id="rId25" Type="http://schemas.openxmlformats.org/officeDocument/2006/relationships/hyperlink" Target="https://staging.sahe-sms.neuronnest.com/academics/majors/" TargetMode="External"/><Relationship Id="rId33" Type="http://schemas.openxmlformats.org/officeDocument/2006/relationships/hyperlink" Target="https://staging.sahe-sms.neuronnest.com/academics/intakes/" TargetMode="External"/><Relationship Id="rId38" Type="http://schemas.openxmlformats.org/officeDocument/2006/relationships/hyperlink" Target="https://staging.sahe-sms.neuronnest.com/academics/timetable/new/"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staging.sahe-sms.neuronnest.com/admissions/apply/" TargetMode="External"/><Relationship Id="rId2" Type="http://schemas.openxmlformats.org/officeDocument/2006/relationships/hyperlink" Target="https://staging.sahe-sms.neuronnest.com/admissions/applications/" TargetMode="External"/><Relationship Id="rId1" Type="http://schemas.openxmlformats.org/officeDocument/2006/relationships/hyperlink" Target="SAHE_SMS_QA_Tracker.xlsx"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SAHE_SMS_QA_Tracker.xlsx" TargetMode="Externa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hyperlink" Target="SAHE_SMS_QA_Tracker.xlsx" TargetMode="External"/></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hyperlink" Target="SAHE_SMS_QA_Tracker.xlsx" TargetMode="External"/></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hyperlink" Target="SAHE_SMS_QA_Tracker.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K21"/>
  <sheetViews>
    <sheetView showGridLines="0" topLeftCell="B9" zoomScaleNormal="100" workbookViewId="0">
      <selection activeCell="G16" sqref="G16"/>
    </sheetView>
  </sheetViews>
  <sheetFormatPr defaultColWidth="8.7109375" defaultRowHeight="15"/>
  <cols>
    <col min="1" max="1" width="23" customWidth="1"/>
    <col min="2" max="2" width="24" customWidth="1"/>
    <col min="3" max="3" width="14" customWidth="1"/>
    <col min="4" max="4" width="18" customWidth="1"/>
    <col min="5" max="5" width="12" customWidth="1"/>
    <col min="6" max="8" width="10" customWidth="1"/>
    <col min="9" max="9" width="13" customWidth="1"/>
    <col min="10" max="10" width="11" customWidth="1"/>
    <col min="11" max="11" width="13.85546875" bestFit="1" customWidth="1"/>
  </cols>
  <sheetData>
    <row r="1" spans="1:11" ht="39.75" customHeight="1">
      <c r="A1" s="109" t="s">
        <v>0</v>
      </c>
      <c r="B1" s="109"/>
      <c r="C1" s="109"/>
      <c r="D1" s="109"/>
      <c r="E1" s="109"/>
      <c r="F1" s="109"/>
      <c r="G1" s="109"/>
      <c r="H1" s="109"/>
      <c r="I1" s="109"/>
      <c r="J1" s="109"/>
    </row>
    <row r="2" spans="1:11" ht="19.5" customHeight="1">
      <c r="A2" s="110" t="s">
        <v>1</v>
      </c>
      <c r="B2" s="110"/>
      <c r="C2" s="110"/>
      <c r="D2" s="110"/>
      <c r="E2" s="110"/>
      <c r="F2" s="110"/>
      <c r="G2" s="110"/>
      <c r="H2" s="110"/>
      <c r="I2" s="110"/>
      <c r="J2" s="110"/>
    </row>
    <row r="3" spans="1:11" ht="18" customHeight="1">
      <c r="A3" s="111" t="s">
        <v>2</v>
      </c>
      <c r="B3" s="111"/>
      <c r="C3" s="111"/>
      <c r="D3" s="111"/>
      <c r="E3" s="111"/>
      <c r="F3" s="111"/>
      <c r="G3" s="111"/>
      <c r="H3" s="111"/>
      <c r="I3" s="111"/>
      <c r="J3" s="111"/>
    </row>
    <row r="4" spans="1:11" ht="19.5" customHeight="1">
      <c r="A4" s="2" t="s">
        <v>3</v>
      </c>
    </row>
    <row r="6" spans="1:11" ht="21.75" customHeight="1">
      <c r="A6" s="112" t="s">
        <v>4</v>
      </c>
      <c r="B6" s="112"/>
      <c r="C6" s="112"/>
      <c r="D6" s="112"/>
      <c r="E6" s="112"/>
      <c r="F6" s="112"/>
      <c r="G6" s="112"/>
      <c r="H6" s="112"/>
      <c r="I6" s="112"/>
      <c r="J6" s="112"/>
    </row>
    <row r="7" spans="1:11" ht="21.75" customHeight="1">
      <c r="A7" s="3" t="s">
        <v>5</v>
      </c>
      <c r="B7" s="113" t="s">
        <v>6</v>
      </c>
      <c r="C7" s="113"/>
      <c r="D7" s="124" t="str">
        <f>HYPERLINK("#'"&amp;B7&amp;"'!A1","Go to selected sheet -&gt;")</f>
        <v>Go to selected sheet -&gt;</v>
      </c>
      <c r="E7" s="124"/>
      <c r="F7" s="124"/>
    </row>
    <row r="9" spans="1:11" ht="30" customHeight="1">
      <c r="A9" s="5" t="s">
        <v>7</v>
      </c>
      <c r="B9" s="5" t="s">
        <v>8</v>
      </c>
      <c r="C9" s="5" t="s">
        <v>9</v>
      </c>
      <c r="D9" s="5" t="s">
        <v>10</v>
      </c>
      <c r="E9" s="5" t="s">
        <v>11</v>
      </c>
      <c r="F9" s="5" t="s">
        <v>12</v>
      </c>
      <c r="G9" s="5" t="s">
        <v>13</v>
      </c>
      <c r="H9" s="5" t="s">
        <v>14</v>
      </c>
      <c r="I9" s="5" t="s">
        <v>15</v>
      </c>
      <c r="J9" s="5" t="s">
        <v>16</v>
      </c>
    </row>
    <row r="10" spans="1:11" ht="19.5" customHeight="1">
      <c r="A10" s="6">
        <v>1</v>
      </c>
      <c r="B10" s="7" t="s">
        <v>6</v>
      </c>
      <c r="C10" s="8" t="s">
        <v>17</v>
      </c>
      <c r="D10" s="6" t="s">
        <v>18</v>
      </c>
      <c r="E10" s="6">
        <f>COUNTA(Analytics!A5:A125)</f>
        <v>69</v>
      </c>
      <c r="F10" s="6">
        <f>COUNTIF(Analytics!I5:I125,"Pass")</f>
        <v>62</v>
      </c>
      <c r="G10" s="6">
        <f>COUNTIF(Analytics!I5:I125,"Fail")</f>
        <v>6</v>
      </c>
      <c r="H10" s="6">
        <f>COUNTIF(Analytics!I5:I125,"Blocked")</f>
        <v>1</v>
      </c>
      <c r="I10" s="6">
        <f>COUNTIF(Analytics!I5:I125,"Not Executed")</f>
        <v>0</v>
      </c>
      <c r="J10" s="9">
        <f>IFERROR(F10/E10,0)</f>
        <v>0.89855072463768115</v>
      </c>
      <c r="K10" s="54" t="s">
        <v>19</v>
      </c>
    </row>
    <row r="11" spans="1:11" ht="19.5" customHeight="1">
      <c r="A11" s="10">
        <v>2</v>
      </c>
      <c r="B11" s="11" t="s">
        <v>20</v>
      </c>
      <c r="C11" s="12" t="s">
        <v>17</v>
      </c>
      <c r="D11" s="10" t="s">
        <v>18</v>
      </c>
      <c r="E11" s="10">
        <f>COUNTA(Academics!A5:A300)</f>
        <v>38</v>
      </c>
      <c r="F11" s="10">
        <f>COUNTIF(Academics!I5:I300,"Pass")</f>
        <v>35</v>
      </c>
      <c r="G11" s="10">
        <f>COUNTIF(Academics!I5:I300,"Fail")</f>
        <v>3</v>
      </c>
      <c r="H11" s="10">
        <f>COUNTIF(Academics!I5:I300,"Blocked")</f>
        <v>0</v>
      </c>
      <c r="I11" s="10">
        <f>COUNTIF(Academics!I5:I300,"Not Executed")</f>
        <v>0</v>
      </c>
      <c r="J11" s="13">
        <f>IFERROR(F11/E11,0)</f>
        <v>0.92105263157894735</v>
      </c>
      <c r="K11" s="55"/>
    </row>
    <row r="12" spans="1:11" ht="19.5" customHeight="1">
      <c r="A12" s="6">
        <v>3</v>
      </c>
      <c r="B12" s="7" t="s">
        <v>21</v>
      </c>
      <c r="C12" s="8" t="s">
        <v>17</v>
      </c>
      <c r="D12" s="6" t="s">
        <v>18</v>
      </c>
      <c r="E12" s="6">
        <f>COUNTA(Admissions!A5:A300)</f>
        <v>3</v>
      </c>
      <c r="F12" s="6">
        <f>COUNTIF(Admissions!I5:I300,"Pass")</f>
        <v>1</v>
      </c>
      <c r="G12" s="6">
        <f>COUNTIF(Admissions!I5:I300,"Fail")</f>
        <v>2</v>
      </c>
      <c r="H12" s="6">
        <f>COUNTIF(Admissions!I5:I300,"Blocked")</f>
        <v>0</v>
      </c>
      <c r="I12" s="6">
        <f>COUNTIF(Admissions!I5:I300,"Not Executed")</f>
        <v>0</v>
      </c>
      <c r="J12" s="9">
        <f>IFERROR(F12/E12,0)</f>
        <v>0.33333333333333331</v>
      </c>
    </row>
    <row r="13" spans="1:11" ht="19.5" customHeight="1">
      <c r="A13" s="10">
        <v>4</v>
      </c>
      <c r="B13" s="11" t="s">
        <v>22</v>
      </c>
      <c r="C13" s="12" t="s">
        <v>17</v>
      </c>
      <c r="D13" s="10" t="s">
        <v>18</v>
      </c>
      <c r="E13" s="10">
        <f>COUNTA(Students!A5:A253)</f>
        <v>50</v>
      </c>
      <c r="F13" s="10">
        <f>COUNTIF(Students!I5:I253,"Pass")</f>
        <v>38</v>
      </c>
      <c r="G13" s="10">
        <f>COUNTIF(Students!I5:I253,"Fail")</f>
        <v>12</v>
      </c>
      <c r="H13" s="10">
        <f>COUNTIF(Students!I5:I253,"Blocked")</f>
        <v>0</v>
      </c>
      <c r="I13" s="10">
        <f>COUNTIF(Students!I5:I253,"Not Executed")</f>
        <v>0</v>
      </c>
      <c r="J13" s="13">
        <f>IFERROR(F13/E13,0)</f>
        <v>0.76</v>
      </c>
    </row>
    <row r="14" spans="1:11" ht="19.5" customHeight="1">
      <c r="A14" s="6">
        <v>5</v>
      </c>
      <c r="B14" s="7" t="s">
        <v>23</v>
      </c>
      <c r="C14" s="8" t="s">
        <v>17</v>
      </c>
      <c r="D14" s="6" t="s">
        <v>18</v>
      </c>
      <c r="E14" s="6">
        <f>COUNTA(Finance!#REF!)</f>
        <v>1</v>
      </c>
      <c r="F14" s="6" t="e">
        <f>COUNTIF(Finance!#REF!,"Pass")</f>
        <v>#REF!</v>
      </c>
      <c r="G14" s="6" t="e">
        <f>COUNTIF(Finance!#REF!,"Fail")</f>
        <v>#REF!</v>
      </c>
      <c r="H14" s="6" t="e">
        <f>COUNTIF(Finance!#REF!,"Blocked")</f>
        <v>#REF!</v>
      </c>
      <c r="I14" s="6" t="e">
        <f>COUNTIF(Finance!#REF!,"Not Executed")</f>
        <v>#REF!</v>
      </c>
      <c r="J14" s="9">
        <f>IFERROR(F14/E14,0)</f>
        <v>0</v>
      </c>
    </row>
    <row r="15" spans="1:11" ht="19.5" customHeight="1">
      <c r="A15" s="10">
        <v>6</v>
      </c>
      <c r="B15" s="11" t="s">
        <v>24</v>
      </c>
      <c r="C15" s="12" t="s">
        <v>17</v>
      </c>
      <c r="D15" s="10" t="s">
        <v>18</v>
      </c>
      <c r="E15" s="10">
        <f>COUNTA('Human Resources'!A5:A300)</f>
        <v>60</v>
      </c>
      <c r="F15" s="10">
        <f>COUNTIF('Human Resources'!I5:I300,"Pass")</f>
        <v>57</v>
      </c>
      <c r="G15" s="10">
        <f>COUNTIF('Human Resources'!I5:I300,"Fail")</f>
        <v>3</v>
      </c>
      <c r="H15" s="10">
        <f>COUNTIF('Human Resources'!I5:I300,"Blocked")</f>
        <v>0</v>
      </c>
      <c r="I15" s="10">
        <f>COUNTIF('Human Resources'!I5:I300,"Not Executed")</f>
        <v>0</v>
      </c>
      <c r="J15" s="13">
        <f>IFERROR(F15/E15,0)</f>
        <v>0.95</v>
      </c>
    </row>
    <row r="16" spans="1:11" ht="19.5" customHeight="1">
      <c r="A16" s="6">
        <v>7</v>
      </c>
      <c r="B16" s="7" t="s">
        <v>25</v>
      </c>
      <c r="C16" s="8" t="s">
        <v>17</v>
      </c>
      <c r="D16" s="6" t="s">
        <v>18</v>
      </c>
      <c r="E16" s="6"/>
      <c r="F16" s="6"/>
      <c r="G16" s="6">
        <f>COUNTIF(Analytics!I11:I131,"Fail")</f>
        <v>4</v>
      </c>
      <c r="H16" s="6"/>
      <c r="I16" s="6"/>
      <c r="J16" s="9">
        <f>IFERROR(F16/E16,0)</f>
        <v>0</v>
      </c>
    </row>
    <row r="17" spans="1:10" ht="19.5" customHeight="1">
      <c r="A17" s="10">
        <v>8</v>
      </c>
      <c r="B17" s="11" t="s">
        <v>26</v>
      </c>
      <c r="C17" s="12" t="s">
        <v>17</v>
      </c>
      <c r="D17" s="10" t="s">
        <v>18</v>
      </c>
      <c r="E17" s="10">
        <f>COUNTA('Compliance and Audit'!A5:A300)</f>
        <v>1</v>
      </c>
      <c r="F17" s="10">
        <f>COUNTIF('Compliance and Audit'!I5:I300,"Pass")</f>
        <v>0</v>
      </c>
      <c r="G17" s="10">
        <f>COUNTIF('Compliance and Audit'!I5:I300,"Fail")</f>
        <v>0</v>
      </c>
      <c r="H17" s="10">
        <f>COUNTIF('Compliance and Audit'!I5:I300,"Blocked")</f>
        <v>0</v>
      </c>
      <c r="I17" s="10">
        <f>COUNTIF('Compliance and Audit'!I5:I300,"Not Executed")</f>
        <v>0</v>
      </c>
      <c r="J17" s="13">
        <f>IFERROR(F17/E17,0)</f>
        <v>0</v>
      </c>
    </row>
    <row r="18" spans="1:10" ht="19.5" customHeight="1">
      <c r="A18" s="6">
        <v>9</v>
      </c>
      <c r="B18" s="7" t="s">
        <v>27</v>
      </c>
      <c r="C18" s="8" t="s">
        <v>17</v>
      </c>
      <c r="D18" s="6" t="s">
        <v>18</v>
      </c>
      <c r="E18" s="6">
        <f>COUNTA(Settings!A5:A300)</f>
        <v>0</v>
      </c>
      <c r="F18" s="6">
        <f>COUNTIF(Settings!I5:I300,"Pass")</f>
        <v>0</v>
      </c>
      <c r="G18" s="6">
        <f>COUNTIF(Settings!I5:I300,"Fail")</f>
        <v>0</v>
      </c>
      <c r="H18" s="6">
        <f>COUNTIF(Settings!I5:I300,"Blocked")</f>
        <v>0</v>
      </c>
      <c r="I18" s="6">
        <f>COUNTIF(Settings!I5:I300,"Not Executed")</f>
        <v>0</v>
      </c>
      <c r="J18" s="9">
        <f>IFERROR(F18/E18,0)</f>
        <v>0</v>
      </c>
    </row>
    <row r="19" spans="1:10" ht="19.5" customHeight="1">
      <c r="A19" s="14"/>
      <c r="B19" s="15" t="s">
        <v>28</v>
      </c>
      <c r="C19" s="14"/>
      <c r="D19" s="14"/>
      <c r="E19" s="16">
        <f>SUM(E10:E18)</f>
        <v>222</v>
      </c>
      <c r="F19" s="16" t="e">
        <f>SUM(F10:F18)</f>
        <v>#REF!</v>
      </c>
      <c r="G19" s="16" t="e">
        <f>SUM(G10:G18)</f>
        <v>#REF!</v>
      </c>
      <c r="H19" s="16" t="e">
        <f>SUM(H10:H18)</f>
        <v>#REF!</v>
      </c>
      <c r="I19" s="16" t="e">
        <f>SUM(I10:I18)</f>
        <v>#REF!</v>
      </c>
      <c r="J19" s="17">
        <f>IFERROR(F19/E19,0)</f>
        <v>0</v>
      </c>
    </row>
    <row r="21" spans="1:10" ht="27.75" customHeight="1">
      <c r="A21" s="108" t="s">
        <v>29</v>
      </c>
      <c r="B21" s="108"/>
      <c r="C21" s="108"/>
      <c r="D21" s="108"/>
      <c r="E21" s="108"/>
      <c r="F21" s="108"/>
      <c r="G21" s="108"/>
      <c r="H21" s="108"/>
      <c r="I21" s="108"/>
      <c r="J21" s="108"/>
    </row>
  </sheetData>
  <mergeCells count="7">
    <mergeCell ref="A21:J21"/>
    <mergeCell ref="A1:J1"/>
    <mergeCell ref="A2:J2"/>
    <mergeCell ref="A3:J3"/>
    <mergeCell ref="A6:J6"/>
    <mergeCell ref="B7:C7"/>
    <mergeCell ref="D7:F7"/>
  </mergeCells>
  <conditionalFormatting sqref="J10:J19">
    <cfRule type="cellIs" dxfId="51" priority="2" operator="greaterThanOrEqual">
      <formula>0.8</formula>
    </cfRule>
    <cfRule type="cellIs" dxfId="50" priority="3" operator="lessThan">
      <formula>0.5</formula>
    </cfRule>
  </conditionalFormatting>
  <conditionalFormatting sqref="G10:G18">
    <cfRule type="cellIs" dxfId="49" priority="4" operator="greaterThan">
      <formula>0</formula>
    </cfRule>
  </conditionalFormatting>
  <dataValidations count="2">
    <dataValidation type="list" errorTitle="Invalid sub-app" error="Choose a sub-app from the list." sqref="B7" xr:uid="{00000000-0002-0000-0000-000000000000}">
      <formula1>List_Modules</formula1>
      <formula2>0</formula2>
    </dataValidation>
    <dataValidation type="list" allowBlank="1" sqref="D10:D18" xr:uid="{00000000-0002-0000-0000-000001000000}">
      <formula1>List_Testers</formula1>
      <formula2>0</formula2>
    </dataValidation>
  </dataValidations>
  <hyperlinks>
    <hyperlink ref="A4" r:id="rId1" location="'Guidelines'!A1" xr:uid="{00000000-0004-0000-0000-000000000000}"/>
    <hyperlink ref="C10" r:id="rId2" location="Analytics!A1" xr:uid="{00000000-0004-0000-0000-000001000000}"/>
    <hyperlink ref="C11" r:id="rId3" location="Academics!A1" xr:uid="{00000000-0004-0000-0000-000002000000}"/>
    <hyperlink ref="C12" r:id="rId4" location="Admissions!A1" xr:uid="{00000000-0004-0000-0000-000003000000}"/>
    <hyperlink ref="C13" r:id="rId5" location="Students!A1" xr:uid="{00000000-0004-0000-0000-000004000000}"/>
    <hyperlink ref="C14" r:id="rId6" location="Finance!A1" xr:uid="{00000000-0004-0000-0000-000005000000}"/>
    <hyperlink ref="C15" r:id="rId7" location="'Human%20Resources'!A1" xr:uid="{00000000-0004-0000-0000-000006000000}"/>
    <hyperlink ref="C16" r:id="rId8" location="Agents!A1" xr:uid="{00000000-0004-0000-0000-000007000000}"/>
    <hyperlink ref="C17" r:id="rId9" location="'Compliance%20and%20Audit'!A1" xr:uid="{00000000-0004-0000-0000-000008000000}"/>
    <hyperlink ref="C18" r:id="rId10" location="Settings!A1" xr:uid="{00000000-0004-0000-0000-000009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F8F00"/>
  </sheetPr>
  <dimension ref="A1:H77"/>
  <sheetViews>
    <sheetView showGridLines="0" zoomScaleNormal="100" workbookViewId="0">
      <pane ySplit="4" topLeftCell="A59" activePane="bottomLeft" state="frozen"/>
      <selection pane="bottomLeft" activeCell="A22" sqref="A22"/>
    </sheetView>
  </sheetViews>
  <sheetFormatPr defaultColWidth="8.7109375" defaultRowHeight="15"/>
  <cols>
    <col min="1" max="1" width="29.140625" customWidth="1"/>
    <col min="2" max="2" width="22" customWidth="1"/>
    <col min="3" max="4" width="20" customWidth="1"/>
    <col min="5" max="8" width="16" customWidth="1"/>
  </cols>
  <sheetData>
    <row r="1" spans="1:8" ht="31.5" customHeight="1">
      <c r="A1" s="122" t="s">
        <v>30</v>
      </c>
      <c r="B1" s="122"/>
      <c r="C1" s="122"/>
      <c r="D1" s="122"/>
      <c r="E1" s="122"/>
      <c r="F1" s="122"/>
      <c r="G1" s="122"/>
      <c r="H1" s="122"/>
    </row>
    <row r="2" spans="1:8" ht="27.75" customHeight="1">
      <c r="A2" s="114" t="s">
        <v>31</v>
      </c>
      <c r="B2" s="114"/>
      <c r="C2" s="114"/>
      <c r="D2" s="114"/>
      <c r="E2" s="114"/>
      <c r="F2" s="114"/>
      <c r="G2" s="114"/>
      <c r="H2" s="114"/>
    </row>
    <row r="4" spans="1:8">
      <c r="A4" s="4" t="s">
        <v>32</v>
      </c>
    </row>
    <row r="6" spans="1:8" ht="21.75" customHeight="1">
      <c r="A6" s="112" t="s">
        <v>33</v>
      </c>
      <c r="B6" s="112"/>
      <c r="C6" s="112"/>
      <c r="D6" s="112"/>
      <c r="E6" s="112"/>
      <c r="F6" s="112"/>
      <c r="G6" s="112"/>
      <c r="H6" s="112"/>
    </row>
    <row r="7" spans="1:8" ht="15.75" customHeight="1">
      <c r="A7" s="114" t="s">
        <v>34</v>
      </c>
      <c r="B7" s="114"/>
      <c r="C7" s="114"/>
      <c r="D7" s="114"/>
      <c r="E7" s="114"/>
      <c r="F7" s="114"/>
      <c r="G7" s="114"/>
      <c r="H7" s="114"/>
    </row>
    <row r="8" spans="1:8" ht="15.75" customHeight="1">
      <c r="A8" s="114" t="s">
        <v>35</v>
      </c>
      <c r="B8" s="114"/>
      <c r="C8" s="114"/>
      <c r="D8" s="114"/>
      <c r="E8" s="114"/>
      <c r="F8" s="114"/>
      <c r="G8" s="114"/>
      <c r="H8" s="114"/>
    </row>
    <row r="9" spans="1:8" ht="33" customHeight="1">
      <c r="A9" s="114" t="s">
        <v>36</v>
      </c>
      <c r="B9" s="114"/>
      <c r="C9" s="114"/>
      <c r="D9" s="114"/>
      <c r="E9" s="114"/>
      <c r="F9" s="114"/>
      <c r="G9" s="114"/>
      <c r="H9" s="114"/>
    </row>
    <row r="10" spans="1:8" ht="15.75" customHeight="1">
      <c r="A10" s="114" t="s">
        <v>37</v>
      </c>
      <c r="B10" s="114"/>
      <c r="C10" s="114"/>
      <c r="D10" s="114"/>
      <c r="E10" s="114"/>
      <c r="F10" s="114"/>
      <c r="G10" s="114"/>
      <c r="H10" s="114"/>
    </row>
    <row r="12" spans="1:8" ht="21.75" customHeight="1">
      <c r="A12" s="112" t="s">
        <v>38</v>
      </c>
      <c r="B12" s="112"/>
      <c r="C12" s="112"/>
      <c r="D12" s="112"/>
      <c r="E12" s="112"/>
      <c r="F12" s="112"/>
      <c r="G12" s="112"/>
      <c r="H12" s="112"/>
    </row>
    <row r="13" spans="1:8" ht="26.25" customHeight="1">
      <c r="A13" s="114" t="s">
        <v>39</v>
      </c>
      <c r="B13" s="114"/>
      <c r="C13" s="114"/>
      <c r="D13" s="114"/>
      <c r="E13" s="114"/>
      <c r="F13" s="114"/>
      <c r="G13" s="114"/>
      <c r="H13" s="114"/>
    </row>
    <row r="14" spans="1:8" ht="36.75" customHeight="1">
      <c r="A14" s="114" t="s">
        <v>40</v>
      </c>
      <c r="B14" s="114"/>
      <c r="C14" s="114"/>
      <c r="D14" s="114"/>
      <c r="E14" s="114"/>
      <c r="F14" s="114"/>
      <c r="G14" s="114"/>
      <c r="H14" s="114"/>
    </row>
    <row r="15" spans="1:8" ht="31.5" customHeight="1">
      <c r="A15" s="114" t="s">
        <v>41</v>
      </c>
      <c r="B15" s="114"/>
      <c r="C15" s="114"/>
      <c r="D15" s="114"/>
      <c r="E15" s="114"/>
      <c r="F15" s="114"/>
      <c r="G15" s="114"/>
      <c r="H15" s="114"/>
    </row>
    <row r="16" spans="1:8" ht="30.75" customHeight="1">
      <c r="A16" s="114" t="s">
        <v>42</v>
      </c>
      <c r="B16" s="114"/>
      <c r="C16" s="114"/>
      <c r="D16" s="114"/>
      <c r="E16" s="114"/>
      <c r="F16" s="114"/>
      <c r="G16" s="114"/>
      <c r="H16" s="114"/>
    </row>
    <row r="17" spans="1:8" ht="28.5" customHeight="1">
      <c r="A17" s="114" t="s">
        <v>43</v>
      </c>
      <c r="B17" s="114"/>
      <c r="C17" s="114"/>
      <c r="D17" s="114"/>
      <c r="E17" s="114"/>
      <c r="F17" s="114"/>
      <c r="G17" s="114"/>
      <c r="H17" s="114"/>
    </row>
    <row r="18" spans="1:8" ht="27" customHeight="1">
      <c r="A18" s="114" t="s">
        <v>44</v>
      </c>
      <c r="B18" s="114"/>
      <c r="C18" s="114"/>
      <c r="D18" s="114"/>
      <c r="E18" s="114"/>
      <c r="F18" s="114"/>
      <c r="G18" s="114"/>
      <c r="H18" s="114"/>
    </row>
    <row r="19" spans="1:8" ht="34.5" customHeight="1">
      <c r="A19" s="114" t="s">
        <v>45</v>
      </c>
      <c r="B19" s="114"/>
      <c r="C19" s="114"/>
      <c r="D19" s="114"/>
      <c r="E19" s="114"/>
      <c r="F19" s="114"/>
      <c r="G19" s="114"/>
      <c r="H19" s="114"/>
    </row>
    <row r="21" spans="1:8" ht="21.75" customHeight="1">
      <c r="A21" s="112" t="s">
        <v>46</v>
      </c>
      <c r="B21" s="112"/>
      <c r="C21" s="112"/>
      <c r="D21" s="112"/>
      <c r="E21" s="112"/>
      <c r="F21" s="112"/>
      <c r="G21" s="112"/>
      <c r="H21" s="112"/>
    </row>
    <row r="22" spans="1:8" ht="19.5" customHeight="1">
      <c r="A22" s="1" t="s">
        <v>47</v>
      </c>
      <c r="B22" s="121" t="s">
        <v>48</v>
      </c>
      <c r="C22" s="121"/>
      <c r="D22" s="121"/>
      <c r="E22" s="121" t="s">
        <v>49</v>
      </c>
      <c r="F22" s="121"/>
      <c r="G22" s="121"/>
      <c r="H22" s="121"/>
    </row>
    <row r="23" spans="1:8" ht="30" customHeight="1">
      <c r="A23" s="18" t="s">
        <v>50</v>
      </c>
      <c r="B23" s="119" t="s">
        <v>51</v>
      </c>
      <c r="C23" s="119"/>
      <c r="D23" s="119"/>
      <c r="E23" s="120" t="s">
        <v>52</v>
      </c>
      <c r="F23" s="120"/>
      <c r="G23" s="120"/>
      <c r="H23" s="120"/>
    </row>
    <row r="24" spans="1:8" ht="30" customHeight="1">
      <c r="A24" s="18" t="s">
        <v>53</v>
      </c>
      <c r="B24" s="119" t="s">
        <v>54</v>
      </c>
      <c r="C24" s="119"/>
      <c r="D24" s="119"/>
      <c r="E24" s="120" t="s">
        <v>55</v>
      </c>
      <c r="F24" s="120"/>
      <c r="G24" s="120"/>
      <c r="H24" s="120"/>
    </row>
    <row r="25" spans="1:8" ht="30" customHeight="1">
      <c r="A25" s="18" t="s">
        <v>56</v>
      </c>
      <c r="B25" s="119" t="s">
        <v>57</v>
      </c>
      <c r="C25" s="119"/>
      <c r="D25" s="119"/>
      <c r="E25" s="120" t="s">
        <v>58</v>
      </c>
      <c r="F25" s="120"/>
      <c r="G25" s="120"/>
      <c r="H25" s="120"/>
    </row>
    <row r="26" spans="1:8" ht="30" customHeight="1">
      <c r="A26" s="18" t="s">
        <v>59</v>
      </c>
      <c r="B26" s="119" t="s">
        <v>60</v>
      </c>
      <c r="C26" s="119"/>
      <c r="D26" s="119"/>
      <c r="E26" s="120" t="s">
        <v>61</v>
      </c>
      <c r="F26" s="120"/>
      <c r="G26" s="120"/>
      <c r="H26" s="120"/>
    </row>
    <row r="27" spans="1:8" ht="30" customHeight="1">
      <c r="A27" s="18" t="s">
        <v>62</v>
      </c>
      <c r="B27" s="119" t="s">
        <v>63</v>
      </c>
      <c r="C27" s="119"/>
      <c r="D27" s="119"/>
      <c r="E27" s="120" t="s">
        <v>64</v>
      </c>
      <c r="F27" s="120"/>
      <c r="G27" s="120"/>
      <c r="H27" s="120"/>
    </row>
    <row r="28" spans="1:8" ht="30" customHeight="1">
      <c r="A28" s="18" t="s">
        <v>65</v>
      </c>
      <c r="B28" s="119" t="s">
        <v>66</v>
      </c>
      <c r="C28" s="119"/>
      <c r="D28" s="119"/>
      <c r="E28" s="120" t="s">
        <v>67</v>
      </c>
      <c r="F28" s="120"/>
      <c r="G28" s="120"/>
      <c r="H28" s="120"/>
    </row>
    <row r="29" spans="1:8" ht="30" customHeight="1">
      <c r="A29" s="18" t="s">
        <v>68</v>
      </c>
      <c r="B29" s="119" t="s">
        <v>69</v>
      </c>
      <c r="C29" s="119"/>
      <c r="D29" s="119"/>
      <c r="E29" s="120" t="s">
        <v>70</v>
      </c>
      <c r="F29" s="120"/>
      <c r="G29" s="120"/>
      <c r="H29" s="120"/>
    </row>
    <row r="30" spans="1:8" ht="30" customHeight="1">
      <c r="A30" s="18" t="s">
        <v>71</v>
      </c>
      <c r="B30" s="119" t="s">
        <v>72</v>
      </c>
      <c r="C30" s="119"/>
      <c r="D30" s="119"/>
      <c r="E30" s="120" t="s">
        <v>73</v>
      </c>
      <c r="F30" s="120"/>
      <c r="G30" s="120"/>
      <c r="H30" s="120"/>
    </row>
    <row r="31" spans="1:8" ht="30" customHeight="1">
      <c r="A31" s="18" t="s">
        <v>74</v>
      </c>
      <c r="B31" s="119" t="s">
        <v>75</v>
      </c>
      <c r="C31" s="119"/>
      <c r="D31" s="119"/>
      <c r="E31" s="120" t="s">
        <v>76</v>
      </c>
      <c r="F31" s="120"/>
      <c r="G31" s="120"/>
      <c r="H31" s="120"/>
    </row>
    <row r="32" spans="1:8" ht="30" customHeight="1">
      <c r="A32" s="18" t="s">
        <v>77</v>
      </c>
      <c r="B32" s="119" t="s">
        <v>78</v>
      </c>
      <c r="C32" s="119"/>
      <c r="D32" s="119"/>
      <c r="E32" s="120" t="s">
        <v>79</v>
      </c>
      <c r="F32" s="120"/>
      <c r="G32" s="120"/>
      <c r="H32" s="120"/>
    </row>
    <row r="33" spans="1:8" ht="30" customHeight="1">
      <c r="A33" s="18" t="s">
        <v>80</v>
      </c>
      <c r="B33" s="119" t="s">
        <v>81</v>
      </c>
      <c r="C33" s="119"/>
      <c r="D33" s="119"/>
      <c r="E33" s="120" t="s">
        <v>82</v>
      </c>
      <c r="F33" s="120"/>
      <c r="G33" s="120"/>
      <c r="H33" s="120"/>
    </row>
    <row r="34" spans="1:8" ht="30" customHeight="1">
      <c r="A34" s="18" t="s">
        <v>83</v>
      </c>
      <c r="B34" s="119" t="s">
        <v>84</v>
      </c>
      <c r="C34" s="119"/>
      <c r="D34" s="119"/>
      <c r="E34" s="120" t="s">
        <v>85</v>
      </c>
      <c r="F34" s="120"/>
      <c r="G34" s="120"/>
      <c r="H34" s="120"/>
    </row>
    <row r="35" spans="1:8" ht="30" customHeight="1">
      <c r="A35" s="18" t="s">
        <v>86</v>
      </c>
      <c r="B35" s="119" t="s">
        <v>87</v>
      </c>
      <c r="C35" s="119"/>
      <c r="D35" s="119"/>
      <c r="E35" s="120" t="s">
        <v>88</v>
      </c>
      <c r="F35" s="120"/>
      <c r="G35" s="120"/>
      <c r="H35" s="120"/>
    </row>
    <row r="36" spans="1:8" ht="30" customHeight="1">
      <c r="A36" s="18" t="s">
        <v>89</v>
      </c>
      <c r="B36" s="119" t="s">
        <v>90</v>
      </c>
      <c r="C36" s="119"/>
      <c r="D36" s="119"/>
      <c r="E36" s="120" t="s">
        <v>91</v>
      </c>
      <c r="F36" s="120"/>
      <c r="G36" s="120"/>
      <c r="H36" s="120"/>
    </row>
    <row r="37" spans="1:8" ht="30" customHeight="1">
      <c r="A37" s="18" t="s">
        <v>92</v>
      </c>
      <c r="B37" s="119" t="s">
        <v>93</v>
      </c>
      <c r="C37" s="119"/>
      <c r="D37" s="119"/>
      <c r="E37" s="120" t="s">
        <v>94</v>
      </c>
      <c r="F37" s="120"/>
      <c r="G37" s="120"/>
      <c r="H37" s="120"/>
    </row>
    <row r="38" spans="1:8" ht="30" customHeight="1">
      <c r="A38" s="18" t="s">
        <v>95</v>
      </c>
      <c r="B38" s="119" t="s">
        <v>96</v>
      </c>
      <c r="C38" s="119"/>
      <c r="D38" s="119"/>
      <c r="E38" s="120" t="s">
        <v>97</v>
      </c>
      <c r="F38" s="120"/>
      <c r="G38" s="120"/>
      <c r="H38" s="120"/>
    </row>
    <row r="40" spans="1:8" ht="21.75" customHeight="1">
      <c r="A40" s="112" t="s">
        <v>98</v>
      </c>
      <c r="B40" s="112"/>
      <c r="C40" s="112"/>
      <c r="D40" s="112"/>
      <c r="E40" s="112"/>
      <c r="F40" s="112"/>
      <c r="G40" s="112"/>
      <c r="H40" s="112"/>
    </row>
    <row r="41" spans="1:8" ht="18" customHeight="1">
      <c r="A41" s="19"/>
      <c r="B41" s="20" t="s">
        <v>15</v>
      </c>
      <c r="C41" s="118" t="s">
        <v>99</v>
      </c>
      <c r="D41" s="118"/>
      <c r="E41" s="118"/>
      <c r="F41" s="118"/>
      <c r="G41" s="118"/>
      <c r="H41" s="118"/>
    </row>
    <row r="42" spans="1:8" ht="18" customHeight="1">
      <c r="A42" s="21"/>
      <c r="B42" s="22" t="s">
        <v>100</v>
      </c>
      <c r="C42" s="118" t="s">
        <v>101</v>
      </c>
      <c r="D42" s="118"/>
      <c r="E42" s="118"/>
      <c r="F42" s="118"/>
      <c r="G42" s="118"/>
      <c r="H42" s="118"/>
    </row>
    <row r="43" spans="1:8" ht="18" customHeight="1">
      <c r="A43" s="23"/>
      <c r="B43" s="24" t="s">
        <v>102</v>
      </c>
      <c r="C43" s="118" t="s">
        <v>103</v>
      </c>
      <c r="D43" s="118"/>
      <c r="E43" s="118"/>
      <c r="F43" s="118"/>
      <c r="G43" s="118"/>
      <c r="H43" s="118"/>
    </row>
    <row r="44" spans="1:8" ht="18" customHeight="1">
      <c r="A44" s="25"/>
      <c r="B44" s="26" t="s">
        <v>104</v>
      </c>
      <c r="C44" s="118" t="s">
        <v>105</v>
      </c>
      <c r="D44" s="118"/>
      <c r="E44" s="118"/>
      <c r="F44" s="118"/>
      <c r="G44" s="118"/>
      <c r="H44" s="118"/>
    </row>
    <row r="45" spans="1:8" ht="18" customHeight="1">
      <c r="A45" s="27"/>
      <c r="B45" s="28" t="s">
        <v>14</v>
      </c>
      <c r="C45" s="118" t="s">
        <v>106</v>
      </c>
      <c r="D45" s="118"/>
      <c r="E45" s="118"/>
      <c r="F45" s="118"/>
      <c r="G45" s="118"/>
      <c r="H45" s="118"/>
    </row>
    <row r="46" spans="1:8" ht="18" customHeight="1">
      <c r="A46" s="29"/>
      <c r="B46" s="30" t="s">
        <v>107</v>
      </c>
      <c r="C46" s="118" t="s">
        <v>108</v>
      </c>
      <c r="D46" s="118"/>
      <c r="E46" s="118"/>
      <c r="F46" s="118"/>
      <c r="G46" s="118"/>
      <c r="H46" s="118"/>
    </row>
    <row r="48" spans="1:8" ht="21.75" customHeight="1">
      <c r="A48" s="112" t="s">
        <v>109</v>
      </c>
      <c r="B48" s="112"/>
      <c r="C48" s="112"/>
      <c r="D48" s="112"/>
      <c r="E48" s="112"/>
      <c r="F48" s="112"/>
      <c r="G48" s="112"/>
      <c r="H48" s="112"/>
    </row>
    <row r="49" spans="1:8" ht="31.5" customHeight="1">
      <c r="A49" s="114" t="s">
        <v>110</v>
      </c>
      <c r="B49" s="114"/>
      <c r="C49" s="114"/>
      <c r="D49" s="114"/>
      <c r="E49" s="114"/>
      <c r="F49" s="114"/>
      <c r="G49" s="114"/>
      <c r="H49" s="114"/>
    </row>
    <row r="50" spans="1:8" ht="15.75" customHeight="1">
      <c r="A50" s="117" t="s">
        <v>111</v>
      </c>
      <c r="B50" s="117"/>
      <c r="C50" s="118" t="s">
        <v>112</v>
      </c>
      <c r="D50" s="118"/>
      <c r="E50" s="118"/>
      <c r="F50" s="118"/>
      <c r="G50" s="118"/>
      <c r="H50" s="118"/>
    </row>
    <row r="51" spans="1:8" ht="15.75" customHeight="1">
      <c r="A51" s="117" t="s">
        <v>113</v>
      </c>
      <c r="B51" s="117"/>
      <c r="C51" s="118" t="s">
        <v>114</v>
      </c>
      <c r="D51" s="118"/>
      <c r="E51" s="118"/>
      <c r="F51" s="118"/>
      <c r="G51" s="118"/>
      <c r="H51" s="118"/>
    </row>
    <row r="52" spans="1:8" ht="15.75" customHeight="1">
      <c r="A52" s="117" t="s">
        <v>115</v>
      </c>
      <c r="B52" s="117"/>
      <c r="C52" s="118" t="s">
        <v>116</v>
      </c>
      <c r="D52" s="118"/>
      <c r="E52" s="118"/>
      <c r="F52" s="118"/>
      <c r="G52" s="118"/>
      <c r="H52" s="118"/>
    </row>
    <row r="53" spans="1:8" ht="15.75" customHeight="1">
      <c r="A53" s="117" t="s">
        <v>117</v>
      </c>
      <c r="B53" s="117"/>
      <c r="C53" s="118" t="s">
        <v>118</v>
      </c>
      <c r="D53" s="118"/>
      <c r="E53" s="118"/>
      <c r="F53" s="118"/>
      <c r="G53" s="118"/>
      <c r="H53" s="118"/>
    </row>
    <row r="55" spans="1:8" ht="21.75" customHeight="1">
      <c r="A55" s="112" t="s">
        <v>119</v>
      </c>
      <c r="B55" s="112"/>
      <c r="C55" s="112"/>
      <c r="D55" s="112"/>
      <c r="E55" s="112"/>
      <c r="F55" s="112"/>
      <c r="G55" s="112"/>
      <c r="H55" s="112"/>
    </row>
    <row r="56" spans="1:8" ht="18" customHeight="1">
      <c r="A56" s="114" t="s">
        <v>120</v>
      </c>
      <c r="B56" s="114"/>
      <c r="C56" s="114"/>
      <c r="D56" s="114"/>
      <c r="E56" s="114"/>
      <c r="F56" s="114"/>
      <c r="G56" s="114"/>
      <c r="H56" s="114"/>
    </row>
    <row r="57" spans="1:8" ht="15.75" customHeight="1">
      <c r="A57" s="115" t="s">
        <v>50</v>
      </c>
      <c r="B57" s="115"/>
      <c r="C57" s="116" t="s">
        <v>121</v>
      </c>
      <c r="D57" s="116"/>
      <c r="E57" s="116"/>
      <c r="F57" s="116"/>
      <c r="G57" s="116"/>
      <c r="H57" s="116"/>
    </row>
    <row r="58" spans="1:8" ht="15.75" customHeight="1">
      <c r="A58" s="115" t="s">
        <v>53</v>
      </c>
      <c r="B58" s="115"/>
      <c r="C58" s="116" t="s">
        <v>122</v>
      </c>
      <c r="D58" s="116"/>
      <c r="E58" s="116"/>
      <c r="F58" s="116"/>
      <c r="G58" s="116"/>
      <c r="H58" s="116"/>
    </row>
    <row r="59" spans="1:8" ht="15.75" customHeight="1">
      <c r="A59" s="115" t="s">
        <v>56</v>
      </c>
      <c r="B59" s="115"/>
      <c r="C59" s="116" t="s">
        <v>123</v>
      </c>
      <c r="D59" s="116"/>
      <c r="E59" s="116"/>
      <c r="F59" s="116"/>
      <c r="G59" s="116"/>
      <c r="H59" s="116"/>
    </row>
    <row r="60" spans="1:8" ht="15.75" customHeight="1">
      <c r="A60" s="115" t="s">
        <v>59</v>
      </c>
      <c r="B60" s="115"/>
      <c r="C60" s="116" t="s">
        <v>124</v>
      </c>
      <c r="D60" s="116"/>
      <c r="E60" s="116"/>
      <c r="F60" s="116"/>
      <c r="G60" s="116"/>
      <c r="H60" s="116"/>
    </row>
    <row r="61" spans="1:8" ht="15.75" customHeight="1">
      <c r="A61" s="115" t="s">
        <v>62</v>
      </c>
      <c r="B61" s="115"/>
      <c r="C61" s="116" t="s">
        <v>125</v>
      </c>
      <c r="D61" s="116"/>
      <c r="E61" s="116"/>
      <c r="F61" s="116"/>
      <c r="G61" s="116"/>
      <c r="H61" s="116"/>
    </row>
    <row r="62" spans="1:8" ht="15.75" customHeight="1">
      <c r="A62" s="115" t="s">
        <v>65</v>
      </c>
      <c r="B62" s="115"/>
      <c r="C62" s="116" t="s">
        <v>126</v>
      </c>
      <c r="D62" s="116"/>
      <c r="E62" s="116"/>
      <c r="F62" s="116"/>
      <c r="G62" s="116"/>
      <c r="H62" s="116"/>
    </row>
    <row r="63" spans="1:8" ht="15.75" customHeight="1">
      <c r="A63" s="115" t="s">
        <v>68</v>
      </c>
      <c r="B63" s="115"/>
      <c r="C63" s="116" t="s">
        <v>127</v>
      </c>
      <c r="D63" s="116"/>
      <c r="E63" s="116"/>
      <c r="F63" s="116"/>
      <c r="G63" s="116"/>
      <c r="H63" s="116"/>
    </row>
    <row r="64" spans="1:8" ht="15.75" customHeight="1">
      <c r="A64" s="115" t="s">
        <v>71</v>
      </c>
      <c r="B64" s="115"/>
      <c r="C64" s="116" t="s">
        <v>128</v>
      </c>
      <c r="D64" s="116"/>
      <c r="E64" s="116"/>
      <c r="F64" s="116"/>
      <c r="G64" s="116"/>
      <c r="H64" s="116"/>
    </row>
    <row r="65" spans="1:8" ht="15.75" customHeight="1">
      <c r="A65" s="115" t="s">
        <v>74</v>
      </c>
      <c r="B65" s="115"/>
      <c r="C65" s="116" t="s">
        <v>102</v>
      </c>
      <c r="D65" s="116"/>
      <c r="E65" s="116"/>
      <c r="F65" s="116"/>
      <c r="G65" s="116"/>
      <c r="H65" s="116"/>
    </row>
    <row r="66" spans="1:8" ht="15.75" customHeight="1">
      <c r="A66" s="115" t="s">
        <v>77</v>
      </c>
      <c r="B66" s="115"/>
      <c r="C66" s="116" t="s">
        <v>115</v>
      </c>
      <c r="D66" s="116"/>
      <c r="E66" s="116"/>
      <c r="F66" s="116"/>
      <c r="G66" s="116"/>
      <c r="H66" s="116"/>
    </row>
    <row r="67" spans="1:8" ht="15.75" customHeight="1">
      <c r="A67" s="115" t="s">
        <v>80</v>
      </c>
      <c r="B67" s="115"/>
      <c r="C67" s="116" t="s">
        <v>129</v>
      </c>
      <c r="D67" s="116"/>
      <c r="E67" s="116"/>
      <c r="F67" s="116"/>
      <c r="G67" s="116"/>
      <c r="H67" s="116"/>
    </row>
    <row r="68" spans="1:8" ht="15.75" customHeight="1">
      <c r="A68" s="115" t="s">
        <v>83</v>
      </c>
      <c r="B68" s="115"/>
      <c r="C68" s="116" t="s">
        <v>130</v>
      </c>
      <c r="D68" s="116"/>
      <c r="E68" s="116"/>
      <c r="F68" s="116"/>
      <c r="G68" s="116"/>
      <c r="H68" s="116"/>
    </row>
    <row r="69" spans="1:8" ht="15.75" customHeight="1">
      <c r="A69" s="115" t="s">
        <v>86</v>
      </c>
      <c r="B69" s="115"/>
      <c r="C69" s="116" t="s">
        <v>131</v>
      </c>
      <c r="D69" s="116"/>
      <c r="E69" s="116"/>
      <c r="F69" s="116"/>
      <c r="G69" s="116"/>
      <c r="H69" s="116"/>
    </row>
    <row r="70" spans="1:8" ht="15.75" customHeight="1">
      <c r="A70" s="115" t="s">
        <v>89</v>
      </c>
      <c r="B70" s="115"/>
      <c r="C70" s="116" t="s">
        <v>132</v>
      </c>
      <c r="D70" s="116"/>
      <c r="E70" s="116"/>
      <c r="F70" s="116"/>
      <c r="G70" s="116"/>
      <c r="H70" s="116"/>
    </row>
    <row r="72" spans="1:8" ht="21.75" customHeight="1">
      <c r="A72" s="112" t="s">
        <v>133</v>
      </c>
      <c r="B72" s="112"/>
      <c r="C72" s="112"/>
      <c r="D72" s="112"/>
      <c r="E72" s="112"/>
      <c r="F72" s="112"/>
      <c r="G72" s="112"/>
      <c r="H72" s="112"/>
    </row>
    <row r="73" spans="1:8" ht="15.75" customHeight="1">
      <c r="A73" s="114" t="s">
        <v>134</v>
      </c>
      <c r="B73" s="114"/>
      <c r="C73" s="114"/>
      <c r="D73" s="114"/>
      <c r="E73" s="114"/>
      <c r="F73" s="114"/>
      <c r="G73" s="114"/>
      <c r="H73" s="114"/>
    </row>
    <row r="74" spans="1:8" ht="15.75" customHeight="1">
      <c r="A74" s="114" t="s">
        <v>135</v>
      </c>
      <c r="B74" s="114"/>
      <c r="C74" s="114"/>
      <c r="D74" s="114"/>
      <c r="E74" s="114"/>
      <c r="F74" s="114"/>
      <c r="G74" s="114"/>
      <c r="H74" s="114"/>
    </row>
    <row r="75" spans="1:8" ht="15.75" customHeight="1">
      <c r="A75" s="114" t="s">
        <v>136</v>
      </c>
      <c r="B75" s="114"/>
      <c r="C75" s="114"/>
      <c r="D75" s="114"/>
      <c r="E75" s="114"/>
      <c r="F75" s="114"/>
      <c r="G75" s="114"/>
      <c r="H75" s="114"/>
    </row>
    <row r="76" spans="1:8" ht="15.75" customHeight="1">
      <c r="A76" s="114" t="s">
        <v>137</v>
      </c>
      <c r="B76" s="114"/>
      <c r="C76" s="114"/>
      <c r="D76" s="114"/>
      <c r="E76" s="114"/>
      <c r="F76" s="114"/>
      <c r="G76" s="114"/>
      <c r="H76" s="114"/>
    </row>
    <row r="77" spans="1:8" ht="15.75" customHeight="1">
      <c r="A77" s="114" t="s">
        <v>138</v>
      </c>
      <c r="B77" s="114"/>
      <c r="C77" s="114"/>
      <c r="D77" s="114"/>
      <c r="E77" s="114"/>
      <c r="F77" s="114"/>
      <c r="G77" s="114"/>
      <c r="H77" s="114"/>
    </row>
  </sheetData>
  <mergeCells count="103">
    <mergeCell ref="A1:H1"/>
    <mergeCell ref="A2:H2"/>
    <mergeCell ref="A6:H6"/>
    <mergeCell ref="A7:H7"/>
    <mergeCell ref="A8:H8"/>
    <mergeCell ref="A9:H9"/>
    <mergeCell ref="A10:H10"/>
    <mergeCell ref="A12:H12"/>
    <mergeCell ref="A13:H13"/>
    <mergeCell ref="A14:H14"/>
    <mergeCell ref="A15:H15"/>
    <mergeCell ref="A16:H16"/>
    <mergeCell ref="A17:H17"/>
    <mergeCell ref="A18:H18"/>
    <mergeCell ref="A19:H19"/>
    <mergeCell ref="A21:H21"/>
    <mergeCell ref="B22:D22"/>
    <mergeCell ref="E22:H22"/>
    <mergeCell ref="B23:D23"/>
    <mergeCell ref="E23:H23"/>
    <mergeCell ref="B24:D24"/>
    <mergeCell ref="E24:H24"/>
    <mergeCell ref="B25:D25"/>
    <mergeCell ref="E25:H25"/>
    <mergeCell ref="B26:D26"/>
    <mergeCell ref="E26:H26"/>
    <mergeCell ref="B27:D27"/>
    <mergeCell ref="E27:H27"/>
    <mergeCell ref="B28:D28"/>
    <mergeCell ref="E28:H28"/>
    <mergeCell ref="B29:D29"/>
    <mergeCell ref="E29:H29"/>
    <mergeCell ref="B30:D30"/>
    <mergeCell ref="E30:H30"/>
    <mergeCell ref="B31:D31"/>
    <mergeCell ref="E31:H31"/>
    <mergeCell ref="B32:D32"/>
    <mergeCell ref="E32:H32"/>
    <mergeCell ref="B33:D33"/>
    <mergeCell ref="E33:H33"/>
    <mergeCell ref="B34:D34"/>
    <mergeCell ref="E34:H34"/>
    <mergeCell ref="B35:D35"/>
    <mergeCell ref="E35:H35"/>
    <mergeCell ref="B36:D36"/>
    <mergeCell ref="E36:H36"/>
    <mergeCell ref="B37:D37"/>
    <mergeCell ref="E37:H37"/>
    <mergeCell ref="B38:D38"/>
    <mergeCell ref="E38:H38"/>
    <mergeCell ref="A40:H40"/>
    <mergeCell ref="C41:H41"/>
    <mergeCell ref="C42:H42"/>
    <mergeCell ref="C43:H43"/>
    <mergeCell ref="C44:H44"/>
    <mergeCell ref="C45:H45"/>
    <mergeCell ref="C46:H46"/>
    <mergeCell ref="A48:H48"/>
    <mergeCell ref="A49:H49"/>
    <mergeCell ref="A50:B50"/>
    <mergeCell ref="C50:H50"/>
    <mergeCell ref="A51:B51"/>
    <mergeCell ref="C51:H51"/>
    <mergeCell ref="A52:B52"/>
    <mergeCell ref="C52:H52"/>
    <mergeCell ref="A53:B53"/>
    <mergeCell ref="C53:H53"/>
    <mergeCell ref="A55:H55"/>
    <mergeCell ref="A56:H56"/>
    <mergeCell ref="A57:B57"/>
    <mergeCell ref="C57:H57"/>
    <mergeCell ref="A58:B58"/>
    <mergeCell ref="C58:H58"/>
    <mergeCell ref="A59:B59"/>
    <mergeCell ref="C59:H59"/>
    <mergeCell ref="A60:B60"/>
    <mergeCell ref="C60:H60"/>
    <mergeCell ref="A61:B61"/>
    <mergeCell ref="C61:H61"/>
    <mergeCell ref="A62:B62"/>
    <mergeCell ref="C62:H62"/>
    <mergeCell ref="A63:B63"/>
    <mergeCell ref="C63:H63"/>
    <mergeCell ref="A64:B64"/>
    <mergeCell ref="C64:H64"/>
    <mergeCell ref="A65:B65"/>
    <mergeCell ref="C65:H65"/>
    <mergeCell ref="A72:H72"/>
    <mergeCell ref="A73:H73"/>
    <mergeCell ref="A74:H74"/>
    <mergeCell ref="A75:H75"/>
    <mergeCell ref="A76:H76"/>
    <mergeCell ref="A77:H77"/>
    <mergeCell ref="A66:B66"/>
    <mergeCell ref="C66:H66"/>
    <mergeCell ref="A67:B67"/>
    <mergeCell ref="C67:H67"/>
    <mergeCell ref="A68:B68"/>
    <mergeCell ref="C68:H68"/>
    <mergeCell ref="A69:B69"/>
    <mergeCell ref="C69:H69"/>
    <mergeCell ref="A70:B70"/>
    <mergeCell ref="C70:H70"/>
  </mergeCells>
  <hyperlinks>
    <hyperlink ref="A4" r:id="rId1" location="'Main%20Dashboard'!A1" xr:uid="{00000000-0004-0000-0100-000000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08080"/>
  </sheetPr>
  <dimension ref="A1:F10"/>
  <sheetViews>
    <sheetView zoomScaleNormal="100" workbookViewId="0"/>
  </sheetViews>
  <sheetFormatPr defaultColWidth="8.7109375" defaultRowHeight="15"/>
  <sheetData>
    <row r="1" spans="1:6">
      <c r="A1" t="s">
        <v>139</v>
      </c>
      <c r="B1" t="s">
        <v>140</v>
      </c>
      <c r="C1" t="s">
        <v>74</v>
      </c>
      <c r="D1" t="s">
        <v>77</v>
      </c>
      <c r="E1" t="s">
        <v>80</v>
      </c>
      <c r="F1" t="s">
        <v>89</v>
      </c>
    </row>
    <row r="2" spans="1:6">
      <c r="A2" t="s">
        <v>6</v>
      </c>
      <c r="B2" t="s">
        <v>130</v>
      </c>
      <c r="C2" t="s">
        <v>15</v>
      </c>
      <c r="D2" t="s">
        <v>111</v>
      </c>
      <c r="E2" t="s">
        <v>141</v>
      </c>
      <c r="F2" t="s">
        <v>142</v>
      </c>
    </row>
    <row r="3" spans="1:6">
      <c r="A3" t="s">
        <v>20</v>
      </c>
      <c r="B3" t="s">
        <v>143</v>
      </c>
      <c r="C3" t="s">
        <v>100</v>
      </c>
      <c r="D3" t="s">
        <v>113</v>
      </c>
      <c r="E3" t="s">
        <v>129</v>
      </c>
      <c r="F3" t="s">
        <v>132</v>
      </c>
    </row>
    <row r="4" spans="1:6">
      <c r="A4" t="s">
        <v>21</v>
      </c>
      <c r="B4" t="s">
        <v>144</v>
      </c>
      <c r="C4" t="s">
        <v>102</v>
      </c>
      <c r="D4" t="s">
        <v>115</v>
      </c>
      <c r="E4" t="s">
        <v>145</v>
      </c>
      <c r="F4" t="s">
        <v>146</v>
      </c>
    </row>
    <row r="5" spans="1:6">
      <c r="A5" t="s">
        <v>22</v>
      </c>
      <c r="B5" t="s">
        <v>18</v>
      </c>
      <c r="C5" t="s">
        <v>104</v>
      </c>
      <c r="D5" t="s">
        <v>117</v>
      </c>
      <c r="E5" t="s">
        <v>147</v>
      </c>
      <c r="F5" t="s">
        <v>148</v>
      </c>
    </row>
    <row r="6" spans="1:6">
      <c r="A6" t="s">
        <v>23</v>
      </c>
      <c r="C6" t="s">
        <v>14</v>
      </c>
      <c r="F6" t="s">
        <v>149</v>
      </c>
    </row>
    <row r="7" spans="1:6">
      <c r="A7" t="s">
        <v>24</v>
      </c>
      <c r="C7" t="s">
        <v>107</v>
      </c>
    </row>
    <row r="8" spans="1:6">
      <c r="A8" t="s">
        <v>25</v>
      </c>
    </row>
    <row r="9" spans="1:6">
      <c r="A9" t="s">
        <v>26</v>
      </c>
    </row>
    <row r="10" spans="1:6">
      <c r="A10" t="s">
        <v>27</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sheetPr>
  <dimension ref="A1:P125"/>
  <sheetViews>
    <sheetView showGridLines="0" topLeftCell="A5" zoomScaleNormal="100" workbookViewId="0">
      <selection activeCell="H6" sqref="H6"/>
    </sheetView>
  </sheetViews>
  <sheetFormatPr defaultColWidth="8.7109375" defaultRowHeight="15"/>
  <cols>
    <col min="1" max="1" width="14" bestFit="1" customWidth="1"/>
    <col min="2" max="2" width="20" customWidth="1"/>
    <col min="3" max="3" width="27.5703125" bestFit="1" customWidth="1"/>
    <col min="4" max="4" width="97.28515625" bestFit="1" customWidth="1"/>
    <col min="5" max="5" width="41.42578125" bestFit="1" customWidth="1"/>
    <col min="6" max="6" width="20" customWidth="1"/>
    <col min="7" max="7" width="28" customWidth="1"/>
    <col min="8" max="8" width="37.85546875" customWidth="1"/>
    <col min="9" max="9" width="14" customWidth="1"/>
    <col min="10" max="10" width="12" customWidth="1"/>
    <col min="11" max="12" width="14" customWidth="1"/>
    <col min="13" max="13" width="13" customWidth="1"/>
    <col min="14" max="14" width="12" customWidth="1"/>
    <col min="15" max="15" width="18" customWidth="1"/>
    <col min="16" max="16" width="26" customWidth="1"/>
  </cols>
  <sheetData>
    <row r="1" spans="1:16" ht="31.5" customHeight="1">
      <c r="A1" s="122" t="s">
        <v>150</v>
      </c>
      <c r="B1" s="122"/>
      <c r="C1" s="122"/>
      <c r="D1" s="122"/>
      <c r="E1" s="122"/>
      <c r="F1" s="122"/>
      <c r="G1" s="122"/>
      <c r="H1" s="122"/>
      <c r="I1" s="122"/>
      <c r="J1" s="122"/>
      <c r="K1" s="122"/>
      <c r="L1" s="122"/>
      <c r="M1" s="122"/>
      <c r="N1" s="122"/>
      <c r="O1" s="122"/>
      <c r="P1" s="122"/>
    </row>
    <row r="2" spans="1:16" ht="18" customHeight="1">
      <c r="A2" s="123" t="s">
        <v>32</v>
      </c>
      <c r="B2" s="123"/>
      <c r="C2" s="123"/>
      <c r="D2" s="123"/>
      <c r="E2" s="123"/>
      <c r="F2" s="123"/>
      <c r="G2" s="123"/>
      <c r="H2" s="123"/>
      <c r="I2" s="123"/>
      <c r="J2" s="123"/>
      <c r="K2" s="123"/>
      <c r="L2" s="123"/>
      <c r="M2" s="123"/>
      <c r="N2" s="123"/>
      <c r="O2" s="123"/>
      <c r="P2" s="123"/>
    </row>
    <row r="3" spans="1:16" ht="30" customHeight="1">
      <c r="A3" s="31" t="s">
        <v>50</v>
      </c>
      <c r="B3" s="31" t="s">
        <v>53</v>
      </c>
      <c r="C3" s="31" t="s">
        <v>56</v>
      </c>
      <c r="D3" s="31" t="s">
        <v>59</v>
      </c>
      <c r="E3" s="31" t="s">
        <v>62</v>
      </c>
      <c r="F3" s="31" t="s">
        <v>65</v>
      </c>
      <c r="G3" s="31" t="s">
        <v>68</v>
      </c>
      <c r="H3" s="31" t="s">
        <v>71</v>
      </c>
      <c r="I3" s="31" t="s">
        <v>74</v>
      </c>
      <c r="J3" s="31" t="s">
        <v>77</v>
      </c>
      <c r="K3" s="31" t="s">
        <v>80</v>
      </c>
      <c r="L3" s="31" t="s">
        <v>83</v>
      </c>
      <c r="M3" s="31" t="s">
        <v>86</v>
      </c>
      <c r="N3" s="31" t="s">
        <v>89</v>
      </c>
      <c r="O3" s="31" t="s">
        <v>92</v>
      </c>
      <c r="P3" s="31" t="s">
        <v>95</v>
      </c>
    </row>
    <row r="4" spans="1:16" ht="48">
      <c r="A4" s="32" t="s">
        <v>121</v>
      </c>
      <c r="B4" s="33" t="s">
        <v>122</v>
      </c>
      <c r="C4" s="33" t="s">
        <v>123</v>
      </c>
      <c r="D4" s="33" t="s">
        <v>151</v>
      </c>
      <c r="E4" s="33" t="s">
        <v>125</v>
      </c>
      <c r="F4" s="33" t="s">
        <v>126</v>
      </c>
      <c r="G4" s="33" t="s">
        <v>152</v>
      </c>
      <c r="H4" s="33" t="s">
        <v>128</v>
      </c>
      <c r="I4" s="33" t="s">
        <v>102</v>
      </c>
      <c r="J4" s="33" t="s">
        <v>115</v>
      </c>
      <c r="K4" s="33" t="s">
        <v>129</v>
      </c>
      <c r="L4" s="33" t="s">
        <v>130</v>
      </c>
      <c r="M4" s="33" t="s">
        <v>131</v>
      </c>
      <c r="N4" s="33" t="s">
        <v>132</v>
      </c>
      <c r="O4" s="33" t="s">
        <v>153</v>
      </c>
      <c r="P4" s="33" t="s">
        <v>154</v>
      </c>
    </row>
    <row r="5" spans="1:16" ht="47.25">
      <c r="A5" s="36" t="s">
        <v>155</v>
      </c>
      <c r="B5" s="37" t="s">
        <v>156</v>
      </c>
      <c r="C5" s="37" t="s">
        <v>157</v>
      </c>
      <c r="D5" s="37" t="s">
        <v>158</v>
      </c>
      <c r="E5" s="37" t="s">
        <v>159</v>
      </c>
      <c r="F5" s="72" t="s">
        <v>160</v>
      </c>
      <c r="G5" s="37" t="s">
        <v>161</v>
      </c>
      <c r="H5" s="38" t="s">
        <v>162</v>
      </c>
      <c r="I5" s="37" t="s">
        <v>104</v>
      </c>
      <c r="J5" s="37" t="s">
        <v>111</v>
      </c>
      <c r="K5" s="37" t="s">
        <v>163</v>
      </c>
      <c r="L5" s="37" t="s">
        <v>164</v>
      </c>
      <c r="M5" s="39">
        <v>46246</v>
      </c>
      <c r="N5" s="37" t="s">
        <v>132</v>
      </c>
      <c r="O5" s="37"/>
      <c r="P5" s="37" t="s">
        <v>165</v>
      </c>
    </row>
    <row r="6" spans="1:16" ht="47.25">
      <c r="A6" s="36" t="s">
        <v>166</v>
      </c>
      <c r="B6" s="40" t="s">
        <v>156</v>
      </c>
      <c r="C6" s="40" t="s">
        <v>167</v>
      </c>
      <c r="D6" s="40" t="s">
        <v>168</v>
      </c>
      <c r="E6" s="40" t="s">
        <v>159</v>
      </c>
      <c r="F6" s="40" t="s">
        <v>169</v>
      </c>
      <c r="G6" s="40" t="s">
        <v>170</v>
      </c>
      <c r="H6" s="38" t="s">
        <v>171</v>
      </c>
      <c r="I6" s="40" t="s">
        <v>104</v>
      </c>
      <c r="J6" s="40" t="s">
        <v>111</v>
      </c>
      <c r="K6" s="40" t="s">
        <v>163</v>
      </c>
      <c r="L6" s="40" t="s">
        <v>164</v>
      </c>
      <c r="M6" s="41">
        <v>46246</v>
      </c>
      <c r="N6" s="37" t="s">
        <v>132</v>
      </c>
      <c r="O6" s="40" t="s">
        <v>172</v>
      </c>
      <c r="P6" s="40" t="s">
        <v>165</v>
      </c>
    </row>
    <row r="7" spans="1:16" ht="47.25">
      <c r="A7" s="36" t="s">
        <v>173</v>
      </c>
      <c r="B7" s="37" t="s">
        <v>156</v>
      </c>
      <c r="C7" s="37" t="s">
        <v>174</v>
      </c>
      <c r="D7" s="37" t="s">
        <v>175</v>
      </c>
      <c r="E7" s="37" t="s">
        <v>176</v>
      </c>
      <c r="F7" s="37" t="s">
        <v>177</v>
      </c>
      <c r="G7" s="37" t="s">
        <v>178</v>
      </c>
      <c r="H7" s="38" t="s">
        <v>179</v>
      </c>
      <c r="I7" s="37" t="s">
        <v>102</v>
      </c>
      <c r="J7" s="37" t="s">
        <v>113</v>
      </c>
      <c r="K7" s="37" t="s">
        <v>180</v>
      </c>
      <c r="L7" s="37" t="s">
        <v>164</v>
      </c>
      <c r="M7" s="39">
        <v>46246</v>
      </c>
      <c r="N7" s="37" t="s">
        <v>132</v>
      </c>
      <c r="O7" s="37" t="s">
        <v>172</v>
      </c>
      <c r="P7" s="37" t="s">
        <v>181</v>
      </c>
    </row>
    <row r="8" spans="1:16" ht="47.25">
      <c r="A8" s="36" t="s">
        <v>182</v>
      </c>
      <c r="B8" s="40" t="s">
        <v>156</v>
      </c>
      <c r="C8" s="40" t="s">
        <v>183</v>
      </c>
      <c r="D8" s="40" t="s">
        <v>184</v>
      </c>
      <c r="E8" s="40" t="s">
        <v>176</v>
      </c>
      <c r="F8" s="40" t="s">
        <v>185</v>
      </c>
      <c r="G8" s="40" t="s">
        <v>186</v>
      </c>
      <c r="H8" s="38" t="s">
        <v>187</v>
      </c>
      <c r="I8" s="40" t="s">
        <v>102</v>
      </c>
      <c r="J8" s="40" t="s">
        <v>113</v>
      </c>
      <c r="K8" s="40" t="s">
        <v>180</v>
      </c>
      <c r="L8" s="37" t="s">
        <v>164</v>
      </c>
      <c r="M8" s="41">
        <v>46246</v>
      </c>
      <c r="N8" s="37" t="s">
        <v>132</v>
      </c>
      <c r="O8" s="40" t="s">
        <v>172</v>
      </c>
      <c r="P8" s="40" t="s">
        <v>188</v>
      </c>
    </row>
    <row r="9" spans="1:16" ht="58.5">
      <c r="A9" s="36" t="s">
        <v>189</v>
      </c>
      <c r="B9" s="37" t="s">
        <v>156</v>
      </c>
      <c r="C9" s="37" t="s">
        <v>190</v>
      </c>
      <c r="D9" s="37" t="s">
        <v>191</v>
      </c>
      <c r="E9" s="37" t="s">
        <v>176</v>
      </c>
      <c r="F9" s="37" t="s">
        <v>192</v>
      </c>
      <c r="G9" s="37" t="s">
        <v>193</v>
      </c>
      <c r="H9" s="38" t="s">
        <v>194</v>
      </c>
      <c r="I9" s="40" t="s">
        <v>102</v>
      </c>
      <c r="J9" s="37" t="s">
        <v>113</v>
      </c>
      <c r="K9" s="37" t="s">
        <v>180</v>
      </c>
      <c r="L9" s="37" t="s">
        <v>164</v>
      </c>
      <c r="M9" s="39">
        <v>46246</v>
      </c>
      <c r="N9" s="37" t="s">
        <v>132</v>
      </c>
      <c r="O9" s="37" t="s">
        <v>172</v>
      </c>
      <c r="P9" s="37" t="s">
        <v>195</v>
      </c>
    </row>
    <row r="10" spans="1:16" ht="58.5">
      <c r="A10" s="36" t="s">
        <v>196</v>
      </c>
      <c r="B10" s="40" t="s">
        <v>156</v>
      </c>
      <c r="C10" s="40" t="s">
        <v>197</v>
      </c>
      <c r="D10" s="40" t="s">
        <v>198</v>
      </c>
      <c r="E10" s="40" t="s">
        <v>176</v>
      </c>
      <c r="F10" s="40" t="s">
        <v>192</v>
      </c>
      <c r="G10" s="40" t="s">
        <v>199</v>
      </c>
      <c r="H10" s="38" t="s">
        <v>200</v>
      </c>
      <c r="I10" s="40" t="s">
        <v>102</v>
      </c>
      <c r="J10" s="40" t="s">
        <v>115</v>
      </c>
      <c r="K10" s="40" t="s">
        <v>201</v>
      </c>
      <c r="L10" s="37" t="s">
        <v>164</v>
      </c>
      <c r="M10" s="41">
        <v>46246</v>
      </c>
      <c r="N10" s="37" t="s">
        <v>132</v>
      </c>
      <c r="O10" s="40" t="s">
        <v>172</v>
      </c>
      <c r="P10" s="40" t="s">
        <v>202</v>
      </c>
    </row>
    <row r="11" spans="1:16" ht="47.25">
      <c r="A11" s="36" t="s">
        <v>203</v>
      </c>
      <c r="B11" s="37" t="s">
        <v>156</v>
      </c>
      <c r="C11" s="37" t="s">
        <v>204</v>
      </c>
      <c r="D11" s="37" t="s">
        <v>205</v>
      </c>
      <c r="E11" s="37" t="s">
        <v>176</v>
      </c>
      <c r="F11" s="37" t="s">
        <v>192</v>
      </c>
      <c r="G11" s="37" t="s">
        <v>206</v>
      </c>
      <c r="H11" s="38" t="s">
        <v>207</v>
      </c>
      <c r="I11" s="40" t="s">
        <v>102</v>
      </c>
      <c r="J11" s="37" t="s">
        <v>111</v>
      </c>
      <c r="K11" s="37" t="s">
        <v>163</v>
      </c>
      <c r="L11" s="37" t="s">
        <v>164</v>
      </c>
      <c r="M11" s="39">
        <v>46247</v>
      </c>
      <c r="N11" s="37" t="s">
        <v>132</v>
      </c>
      <c r="O11" s="37" t="s">
        <v>172</v>
      </c>
      <c r="P11" s="37" t="s">
        <v>208</v>
      </c>
    </row>
    <row r="12" spans="1:16" ht="81.75">
      <c r="A12" s="36" t="s">
        <v>209</v>
      </c>
      <c r="B12" s="40" t="s">
        <v>156</v>
      </c>
      <c r="C12" s="40" t="s">
        <v>210</v>
      </c>
      <c r="D12" s="40" t="s">
        <v>211</v>
      </c>
      <c r="E12" s="40" t="s">
        <v>176</v>
      </c>
      <c r="F12" s="40" t="s">
        <v>192</v>
      </c>
      <c r="G12" s="40" t="s">
        <v>212</v>
      </c>
      <c r="H12" s="38" t="s">
        <v>213</v>
      </c>
      <c r="I12" s="40" t="s">
        <v>104</v>
      </c>
      <c r="J12" s="40" t="s">
        <v>111</v>
      </c>
      <c r="K12" s="40" t="s">
        <v>163</v>
      </c>
      <c r="L12" s="37" t="s">
        <v>164</v>
      </c>
      <c r="M12" s="39">
        <v>46247</v>
      </c>
      <c r="N12" s="37" t="s">
        <v>132</v>
      </c>
      <c r="O12" s="40" t="s">
        <v>172</v>
      </c>
      <c r="P12" s="40" t="s">
        <v>214</v>
      </c>
    </row>
    <row r="13" spans="1:16" ht="30" customHeight="1">
      <c r="A13" s="36" t="s">
        <v>215</v>
      </c>
      <c r="B13" s="37" t="s">
        <v>156</v>
      </c>
      <c r="C13" s="37" t="s">
        <v>216</v>
      </c>
      <c r="D13" s="37" t="s">
        <v>217</v>
      </c>
      <c r="E13" s="37" t="s">
        <v>176</v>
      </c>
      <c r="F13" s="37" t="s">
        <v>218</v>
      </c>
      <c r="G13" s="37" t="s">
        <v>219</v>
      </c>
      <c r="H13" s="38" t="s">
        <v>220</v>
      </c>
      <c r="I13" s="37" t="s">
        <v>14</v>
      </c>
      <c r="J13" s="37" t="s">
        <v>111</v>
      </c>
      <c r="K13" s="37" t="s">
        <v>163</v>
      </c>
      <c r="L13" s="37" t="s">
        <v>164</v>
      </c>
      <c r="M13" s="39">
        <v>46247</v>
      </c>
      <c r="N13" s="37" t="s">
        <v>132</v>
      </c>
      <c r="O13" s="37" t="s">
        <v>172</v>
      </c>
      <c r="P13" s="37" t="s">
        <v>221</v>
      </c>
    </row>
    <row r="14" spans="1:16" ht="30" customHeight="1">
      <c r="A14" s="36" t="s">
        <v>222</v>
      </c>
      <c r="B14" s="40" t="s">
        <v>156</v>
      </c>
      <c r="C14" s="40" t="s">
        <v>223</v>
      </c>
      <c r="D14" s="40" t="s">
        <v>224</v>
      </c>
      <c r="E14" s="40" t="s">
        <v>176</v>
      </c>
      <c r="F14" s="40" t="s">
        <v>192</v>
      </c>
      <c r="G14" s="40" t="s">
        <v>225</v>
      </c>
      <c r="H14" s="38" t="s">
        <v>226</v>
      </c>
      <c r="I14" s="40" t="s">
        <v>102</v>
      </c>
      <c r="J14" s="40" t="s">
        <v>113</v>
      </c>
      <c r="K14" s="40" t="s">
        <v>180</v>
      </c>
      <c r="L14" s="37" t="s">
        <v>164</v>
      </c>
      <c r="M14" s="39">
        <v>46247</v>
      </c>
      <c r="N14" s="37" t="s">
        <v>132</v>
      </c>
      <c r="O14" s="40" t="s">
        <v>172</v>
      </c>
      <c r="P14" s="40" t="s">
        <v>227</v>
      </c>
    </row>
    <row r="15" spans="1:16" ht="30" customHeight="1">
      <c r="A15" s="36" t="s">
        <v>228</v>
      </c>
      <c r="B15" s="37" t="s">
        <v>156</v>
      </c>
      <c r="C15" s="37" t="s">
        <v>229</v>
      </c>
      <c r="D15" s="37" t="s">
        <v>230</v>
      </c>
      <c r="E15" s="37" t="s">
        <v>176</v>
      </c>
      <c r="F15" s="37" t="s">
        <v>231</v>
      </c>
      <c r="G15" s="37" t="s">
        <v>232</v>
      </c>
      <c r="H15" s="38" t="s">
        <v>233</v>
      </c>
      <c r="I15" s="37" t="s">
        <v>104</v>
      </c>
      <c r="J15" s="37" t="s">
        <v>115</v>
      </c>
      <c r="K15" s="37" t="s">
        <v>201</v>
      </c>
      <c r="L15" s="37" t="s">
        <v>164</v>
      </c>
      <c r="M15" s="39">
        <v>46247</v>
      </c>
      <c r="N15" s="37" t="s">
        <v>132</v>
      </c>
      <c r="O15" s="37" t="s">
        <v>172</v>
      </c>
      <c r="P15" s="37" t="s">
        <v>234</v>
      </c>
    </row>
    <row r="16" spans="1:16" ht="30" customHeight="1">
      <c r="A16" s="36" t="s">
        <v>235</v>
      </c>
      <c r="B16" s="37" t="s">
        <v>236</v>
      </c>
      <c r="C16" s="37" t="s">
        <v>237</v>
      </c>
      <c r="D16" s="37" t="s">
        <v>238</v>
      </c>
      <c r="E16" s="37" t="s">
        <v>176</v>
      </c>
      <c r="F16" s="37" t="s">
        <v>192</v>
      </c>
      <c r="G16" s="37" t="s">
        <v>239</v>
      </c>
      <c r="H16" s="38" t="s">
        <v>240</v>
      </c>
      <c r="I16" s="37" t="s">
        <v>102</v>
      </c>
      <c r="J16" s="37" t="s">
        <v>113</v>
      </c>
      <c r="K16" s="37" t="s">
        <v>180</v>
      </c>
      <c r="L16" s="37" t="s">
        <v>164</v>
      </c>
      <c r="M16" s="39">
        <v>46247</v>
      </c>
      <c r="N16" s="37" t="s">
        <v>132</v>
      </c>
      <c r="O16" s="37" t="s">
        <v>172</v>
      </c>
      <c r="P16" s="37" t="s">
        <v>241</v>
      </c>
    </row>
    <row r="17" spans="1:16" ht="30" customHeight="1">
      <c r="A17" s="36" t="s">
        <v>242</v>
      </c>
      <c r="B17" s="37" t="s">
        <v>236</v>
      </c>
      <c r="C17" s="37" t="s">
        <v>243</v>
      </c>
      <c r="D17" s="37" t="s">
        <v>244</v>
      </c>
      <c r="E17" s="37" t="s">
        <v>176</v>
      </c>
      <c r="F17" s="37" t="s">
        <v>160</v>
      </c>
      <c r="G17" s="37" t="s">
        <v>245</v>
      </c>
      <c r="H17" s="38" t="s">
        <v>246</v>
      </c>
      <c r="I17" s="37" t="s">
        <v>102</v>
      </c>
      <c r="J17" s="37" t="s">
        <v>113</v>
      </c>
      <c r="K17" s="37" t="s">
        <v>180</v>
      </c>
      <c r="L17" s="37" t="s">
        <v>164</v>
      </c>
      <c r="M17" s="39">
        <v>46247</v>
      </c>
      <c r="N17" s="37" t="s">
        <v>132</v>
      </c>
      <c r="O17" s="37" t="s">
        <v>172</v>
      </c>
      <c r="P17" s="37" t="s">
        <v>247</v>
      </c>
    </row>
    <row r="18" spans="1:16" ht="30" customHeight="1">
      <c r="A18" s="36" t="s">
        <v>248</v>
      </c>
      <c r="B18" s="40" t="s">
        <v>236</v>
      </c>
      <c r="C18" s="40" t="s">
        <v>249</v>
      </c>
      <c r="D18" s="40" t="s">
        <v>250</v>
      </c>
      <c r="E18" s="40" t="s">
        <v>176</v>
      </c>
      <c r="F18" s="40" t="s">
        <v>169</v>
      </c>
      <c r="G18" s="40" t="s">
        <v>251</v>
      </c>
      <c r="H18" s="38" t="s">
        <v>252</v>
      </c>
      <c r="I18" s="37" t="s">
        <v>102</v>
      </c>
      <c r="J18" s="40" t="s">
        <v>113</v>
      </c>
      <c r="K18" s="40" t="s">
        <v>180</v>
      </c>
      <c r="L18" s="37" t="s">
        <v>164</v>
      </c>
      <c r="M18" s="39">
        <v>46247</v>
      </c>
      <c r="N18" s="37" t="s">
        <v>132</v>
      </c>
      <c r="O18" s="40" t="s">
        <v>172</v>
      </c>
      <c r="P18" s="40" t="s">
        <v>253</v>
      </c>
    </row>
    <row r="19" spans="1:16" ht="30" customHeight="1">
      <c r="A19" s="36" t="s">
        <v>254</v>
      </c>
      <c r="B19" s="37" t="s">
        <v>255</v>
      </c>
      <c r="C19" s="37" t="s">
        <v>256</v>
      </c>
      <c r="D19" s="37" t="s">
        <v>257</v>
      </c>
      <c r="E19" s="37" t="s">
        <v>176</v>
      </c>
      <c r="F19" s="37" t="s">
        <v>258</v>
      </c>
      <c r="G19" s="37" t="s">
        <v>259</v>
      </c>
      <c r="H19" s="38" t="s">
        <v>260</v>
      </c>
      <c r="I19" s="37" t="s">
        <v>102</v>
      </c>
      <c r="J19" s="37" t="s">
        <v>113</v>
      </c>
      <c r="K19" s="37" t="s">
        <v>180</v>
      </c>
      <c r="L19" s="37" t="s">
        <v>164</v>
      </c>
      <c r="M19" s="39">
        <v>46247</v>
      </c>
      <c r="N19" s="37" t="s">
        <v>132</v>
      </c>
      <c r="O19" s="37" t="s">
        <v>172</v>
      </c>
      <c r="P19" s="37" t="s">
        <v>261</v>
      </c>
    </row>
    <row r="20" spans="1:16" ht="30" customHeight="1">
      <c r="A20" s="36" t="s">
        <v>262</v>
      </c>
      <c r="B20" s="40" t="s">
        <v>255</v>
      </c>
      <c r="C20" s="40" t="s">
        <v>263</v>
      </c>
      <c r="D20" s="40" t="s">
        <v>264</v>
      </c>
      <c r="E20" s="40" t="s">
        <v>176</v>
      </c>
      <c r="F20" s="40" t="s">
        <v>192</v>
      </c>
      <c r="G20" s="40" t="s">
        <v>265</v>
      </c>
      <c r="H20" s="38" t="s">
        <v>266</v>
      </c>
      <c r="I20" s="37" t="s">
        <v>102</v>
      </c>
      <c r="J20" s="40" t="s">
        <v>113</v>
      </c>
      <c r="K20" s="40" t="s">
        <v>180</v>
      </c>
      <c r="L20" s="37" t="s">
        <v>164</v>
      </c>
      <c r="M20" s="39">
        <v>46247</v>
      </c>
      <c r="N20" s="37" t="s">
        <v>132</v>
      </c>
      <c r="O20" s="40" t="s">
        <v>172</v>
      </c>
      <c r="P20" s="40" t="s">
        <v>267</v>
      </c>
    </row>
    <row r="21" spans="1:16" ht="46.5" customHeight="1">
      <c r="A21" s="36" t="s">
        <v>268</v>
      </c>
      <c r="B21" s="37" t="s">
        <v>255</v>
      </c>
      <c r="C21" s="37" t="s">
        <v>269</v>
      </c>
      <c r="D21" s="37" t="s">
        <v>270</v>
      </c>
      <c r="E21" s="37" t="s">
        <v>176</v>
      </c>
      <c r="F21" s="37" t="s">
        <v>192</v>
      </c>
      <c r="G21" s="37" t="s">
        <v>271</v>
      </c>
      <c r="H21" s="38" t="s">
        <v>272</v>
      </c>
      <c r="I21" s="37" t="s">
        <v>102</v>
      </c>
      <c r="J21" s="37" t="s">
        <v>113</v>
      </c>
      <c r="K21" s="37" t="s">
        <v>180</v>
      </c>
      <c r="L21" s="37" t="s">
        <v>164</v>
      </c>
      <c r="M21" s="39">
        <v>46247</v>
      </c>
      <c r="N21" s="37" t="s">
        <v>132</v>
      </c>
      <c r="O21" s="37" t="s">
        <v>172</v>
      </c>
      <c r="P21" s="37" t="s">
        <v>273</v>
      </c>
    </row>
    <row r="22" spans="1:16" ht="30" customHeight="1">
      <c r="A22" s="36" t="s">
        <v>274</v>
      </c>
      <c r="B22" s="37" t="s">
        <v>275</v>
      </c>
      <c r="C22" s="37" t="s">
        <v>276</v>
      </c>
      <c r="D22" s="37" t="s">
        <v>277</v>
      </c>
      <c r="E22" s="37" t="s">
        <v>176</v>
      </c>
      <c r="F22" s="37" t="s">
        <v>278</v>
      </c>
      <c r="G22" s="37" t="s">
        <v>279</v>
      </c>
      <c r="H22" s="38" t="s">
        <v>280</v>
      </c>
      <c r="I22" s="37" t="s">
        <v>102</v>
      </c>
      <c r="J22" s="37" t="s">
        <v>113</v>
      </c>
      <c r="K22" s="37" t="s">
        <v>180</v>
      </c>
      <c r="L22" s="37" t="s">
        <v>164</v>
      </c>
      <c r="M22" s="39">
        <v>46248</v>
      </c>
      <c r="N22" s="37" t="s">
        <v>132</v>
      </c>
      <c r="O22" s="37" t="s">
        <v>172</v>
      </c>
      <c r="P22" s="37" t="s">
        <v>281</v>
      </c>
    </row>
    <row r="23" spans="1:16" ht="30" customHeight="1">
      <c r="A23" s="36" t="s">
        <v>282</v>
      </c>
      <c r="B23" s="37" t="s">
        <v>275</v>
      </c>
      <c r="C23" s="37" t="s">
        <v>283</v>
      </c>
      <c r="D23" s="37" t="s">
        <v>284</v>
      </c>
      <c r="E23" s="37" t="s">
        <v>176</v>
      </c>
      <c r="F23" s="37" t="s">
        <v>285</v>
      </c>
      <c r="G23" s="37" t="s">
        <v>286</v>
      </c>
      <c r="H23" s="38" t="s">
        <v>287</v>
      </c>
      <c r="I23" s="37" t="s">
        <v>102</v>
      </c>
      <c r="J23" s="37" t="s">
        <v>113</v>
      </c>
      <c r="K23" s="37" t="s">
        <v>180</v>
      </c>
      <c r="L23" s="37" t="s">
        <v>164</v>
      </c>
      <c r="M23" s="39">
        <v>46248</v>
      </c>
      <c r="N23" s="37" t="s">
        <v>132</v>
      </c>
      <c r="O23" s="37" t="s">
        <v>172</v>
      </c>
      <c r="P23" s="37" t="s">
        <v>288</v>
      </c>
    </row>
    <row r="24" spans="1:16" ht="30" customHeight="1">
      <c r="A24" s="36" t="s">
        <v>289</v>
      </c>
      <c r="B24" s="37" t="s">
        <v>275</v>
      </c>
      <c r="C24" s="37" t="s">
        <v>290</v>
      </c>
      <c r="D24" s="37" t="s">
        <v>291</v>
      </c>
      <c r="E24" s="37" t="s">
        <v>176</v>
      </c>
      <c r="F24" s="37" t="s">
        <v>292</v>
      </c>
      <c r="G24" s="37" t="s">
        <v>293</v>
      </c>
      <c r="H24" s="38" t="s">
        <v>294</v>
      </c>
      <c r="I24" s="37" t="s">
        <v>102</v>
      </c>
      <c r="J24" s="37" t="s">
        <v>113</v>
      </c>
      <c r="K24" s="37" t="s">
        <v>180</v>
      </c>
      <c r="L24" s="37" t="s">
        <v>164</v>
      </c>
      <c r="M24" s="39">
        <v>46248</v>
      </c>
      <c r="N24" s="37" t="s">
        <v>132</v>
      </c>
      <c r="O24" s="37" t="s">
        <v>172</v>
      </c>
      <c r="P24" s="37" t="s">
        <v>295</v>
      </c>
    </row>
    <row r="25" spans="1:16" ht="30" customHeight="1">
      <c r="A25" s="36" t="s">
        <v>296</v>
      </c>
      <c r="B25" s="40" t="s">
        <v>275</v>
      </c>
      <c r="C25" s="40" t="s">
        <v>297</v>
      </c>
      <c r="D25" s="40" t="s">
        <v>298</v>
      </c>
      <c r="E25" s="40" t="s">
        <v>176</v>
      </c>
      <c r="F25" s="40" t="s">
        <v>192</v>
      </c>
      <c r="G25" s="40" t="s">
        <v>299</v>
      </c>
      <c r="H25" s="38" t="s">
        <v>300</v>
      </c>
      <c r="I25" s="37" t="s">
        <v>102</v>
      </c>
      <c r="J25" s="40" t="s">
        <v>113</v>
      </c>
      <c r="K25" s="40" t="s">
        <v>180</v>
      </c>
      <c r="L25" s="37" t="s">
        <v>164</v>
      </c>
      <c r="M25" s="39">
        <v>46248</v>
      </c>
      <c r="N25" s="37" t="s">
        <v>132</v>
      </c>
      <c r="O25" s="40" t="s">
        <v>172</v>
      </c>
      <c r="P25" s="40" t="s">
        <v>301</v>
      </c>
    </row>
    <row r="26" spans="1:16" ht="30" customHeight="1">
      <c r="A26" s="36" t="s">
        <v>302</v>
      </c>
      <c r="B26" s="37" t="s">
        <v>275</v>
      </c>
      <c r="C26" s="37" t="s">
        <v>303</v>
      </c>
      <c r="D26" s="37" t="s">
        <v>304</v>
      </c>
      <c r="E26" s="37" t="s">
        <v>176</v>
      </c>
      <c r="F26" s="37" t="s">
        <v>192</v>
      </c>
      <c r="G26" s="37" t="s">
        <v>305</v>
      </c>
      <c r="H26" s="38" t="s">
        <v>306</v>
      </c>
      <c r="I26" s="37" t="s">
        <v>102</v>
      </c>
      <c r="J26" s="37" t="s">
        <v>113</v>
      </c>
      <c r="K26" s="37" t="s">
        <v>180</v>
      </c>
      <c r="L26" s="37" t="s">
        <v>164</v>
      </c>
      <c r="M26" s="39">
        <v>46248</v>
      </c>
      <c r="N26" s="37" t="s">
        <v>132</v>
      </c>
      <c r="O26" s="37" t="s">
        <v>172</v>
      </c>
      <c r="P26" s="37" t="s">
        <v>307</v>
      </c>
    </row>
    <row r="27" spans="1:16" ht="30" customHeight="1">
      <c r="A27" s="36" t="s">
        <v>308</v>
      </c>
      <c r="B27" s="37" t="s">
        <v>309</v>
      </c>
      <c r="C27" s="37" t="s">
        <v>310</v>
      </c>
      <c r="D27" s="37" t="s">
        <v>311</v>
      </c>
      <c r="E27" s="37" t="s">
        <v>176</v>
      </c>
      <c r="F27" s="37" t="s">
        <v>312</v>
      </c>
      <c r="G27" s="37" t="s">
        <v>313</v>
      </c>
      <c r="H27" s="38" t="s">
        <v>314</v>
      </c>
      <c r="I27" s="37" t="s">
        <v>102</v>
      </c>
      <c r="J27" s="37" t="s">
        <v>113</v>
      </c>
      <c r="K27" s="37" t="s">
        <v>180</v>
      </c>
      <c r="L27" s="37" t="s">
        <v>164</v>
      </c>
      <c r="M27" s="39">
        <v>46248</v>
      </c>
      <c r="N27" s="37" t="s">
        <v>132</v>
      </c>
      <c r="O27" s="37" t="s">
        <v>172</v>
      </c>
      <c r="P27" s="37" t="s">
        <v>315</v>
      </c>
    </row>
    <row r="28" spans="1:16" ht="30" customHeight="1">
      <c r="A28" s="36" t="s">
        <v>316</v>
      </c>
      <c r="B28" s="37" t="s">
        <v>309</v>
      </c>
      <c r="C28" s="37" t="s">
        <v>317</v>
      </c>
      <c r="D28" s="37" t="s">
        <v>318</v>
      </c>
      <c r="E28" s="37" t="s">
        <v>176</v>
      </c>
      <c r="F28" s="37" t="s">
        <v>319</v>
      </c>
      <c r="G28" s="37" t="s">
        <v>320</v>
      </c>
      <c r="H28" s="38" t="s">
        <v>321</v>
      </c>
      <c r="I28" s="37" t="s">
        <v>102</v>
      </c>
      <c r="J28" s="37" t="s">
        <v>113</v>
      </c>
      <c r="K28" s="37" t="s">
        <v>180</v>
      </c>
      <c r="L28" s="37" t="s">
        <v>164</v>
      </c>
      <c r="M28" s="39">
        <v>46248</v>
      </c>
      <c r="N28" s="37" t="s">
        <v>132</v>
      </c>
      <c r="O28" s="37" t="s">
        <v>172</v>
      </c>
      <c r="P28" s="37" t="s">
        <v>322</v>
      </c>
    </row>
    <row r="29" spans="1:16" ht="30" customHeight="1">
      <c r="A29" s="36" t="s">
        <v>323</v>
      </c>
      <c r="B29" s="37" t="s">
        <v>309</v>
      </c>
      <c r="C29" s="37" t="s">
        <v>324</v>
      </c>
      <c r="D29" s="37" t="s">
        <v>325</v>
      </c>
      <c r="E29" s="37" t="s">
        <v>176</v>
      </c>
      <c r="F29" s="37" t="s">
        <v>326</v>
      </c>
      <c r="G29" s="37" t="s">
        <v>327</v>
      </c>
      <c r="H29" s="38" t="s">
        <v>328</v>
      </c>
      <c r="I29" s="37" t="s">
        <v>102</v>
      </c>
      <c r="J29" s="37" t="s">
        <v>113</v>
      </c>
      <c r="K29" s="37" t="s">
        <v>180</v>
      </c>
      <c r="L29" s="37" t="s">
        <v>164</v>
      </c>
      <c r="M29" s="39">
        <v>46248</v>
      </c>
      <c r="N29" s="37" t="s">
        <v>132</v>
      </c>
      <c r="O29" s="37" t="s">
        <v>172</v>
      </c>
      <c r="P29" s="37" t="s">
        <v>329</v>
      </c>
    </row>
    <row r="30" spans="1:16" ht="30" customHeight="1">
      <c r="A30" s="36" t="s">
        <v>330</v>
      </c>
      <c r="B30" s="37" t="s">
        <v>309</v>
      </c>
      <c r="C30" s="37" t="s">
        <v>331</v>
      </c>
      <c r="D30" s="37" t="s">
        <v>332</v>
      </c>
      <c r="E30" s="37" t="s">
        <v>176</v>
      </c>
      <c r="F30" s="37" t="s">
        <v>333</v>
      </c>
      <c r="G30" s="37" t="s">
        <v>334</v>
      </c>
      <c r="H30" s="38" t="s">
        <v>335</v>
      </c>
      <c r="I30" s="37" t="s">
        <v>102</v>
      </c>
      <c r="J30" s="37" t="s">
        <v>113</v>
      </c>
      <c r="K30" s="37" t="s">
        <v>180</v>
      </c>
      <c r="L30" s="37" t="s">
        <v>164</v>
      </c>
      <c r="M30" s="39">
        <v>46248</v>
      </c>
      <c r="N30" s="37" t="s">
        <v>132</v>
      </c>
      <c r="O30" s="37" t="s">
        <v>172</v>
      </c>
      <c r="P30" s="37" t="s">
        <v>336</v>
      </c>
    </row>
    <row r="31" spans="1:16" ht="30" customHeight="1">
      <c r="A31" s="36" t="s">
        <v>337</v>
      </c>
      <c r="B31" s="37" t="s">
        <v>309</v>
      </c>
      <c r="C31" s="37" t="s">
        <v>338</v>
      </c>
      <c r="D31" s="37" t="s">
        <v>339</v>
      </c>
      <c r="E31" s="37" t="s">
        <v>176</v>
      </c>
      <c r="F31" s="37" t="s">
        <v>340</v>
      </c>
      <c r="G31" s="37" t="s">
        <v>341</v>
      </c>
      <c r="H31" s="38" t="s">
        <v>342</v>
      </c>
      <c r="I31" s="37" t="s">
        <v>102</v>
      </c>
      <c r="J31" s="37" t="s">
        <v>113</v>
      </c>
      <c r="K31" s="37" t="s">
        <v>180</v>
      </c>
      <c r="L31" s="37" t="s">
        <v>164</v>
      </c>
      <c r="M31" s="39">
        <v>46248</v>
      </c>
      <c r="N31" s="37" t="s">
        <v>132</v>
      </c>
      <c r="O31" s="37" t="s">
        <v>172</v>
      </c>
      <c r="P31" s="37" t="s">
        <v>343</v>
      </c>
    </row>
    <row r="32" spans="1:16" ht="30" customHeight="1">
      <c r="A32" s="36" t="s">
        <v>344</v>
      </c>
      <c r="B32" s="37" t="s">
        <v>309</v>
      </c>
      <c r="C32" s="37" t="s">
        <v>345</v>
      </c>
      <c r="D32" s="37" t="s">
        <v>346</v>
      </c>
      <c r="E32" s="37" t="s">
        <v>176</v>
      </c>
      <c r="F32" s="37" t="s">
        <v>347</v>
      </c>
      <c r="G32" s="37" t="s">
        <v>348</v>
      </c>
      <c r="H32" s="38" t="s">
        <v>349</v>
      </c>
      <c r="I32" s="37" t="s">
        <v>102</v>
      </c>
      <c r="J32" s="37" t="s">
        <v>113</v>
      </c>
      <c r="K32" s="37" t="s">
        <v>180</v>
      </c>
      <c r="L32" s="37" t="s">
        <v>164</v>
      </c>
      <c r="M32" s="39">
        <v>46248</v>
      </c>
      <c r="N32" s="37" t="s">
        <v>132</v>
      </c>
      <c r="O32" s="37" t="s">
        <v>172</v>
      </c>
      <c r="P32" s="37" t="s">
        <v>350</v>
      </c>
    </row>
    <row r="33" spans="1:16" ht="30" customHeight="1">
      <c r="A33" s="36" t="s">
        <v>351</v>
      </c>
      <c r="B33" s="37" t="s">
        <v>309</v>
      </c>
      <c r="C33" s="37" t="s">
        <v>352</v>
      </c>
      <c r="D33" s="37" t="s">
        <v>353</v>
      </c>
      <c r="E33" s="37" t="s">
        <v>176</v>
      </c>
      <c r="F33" s="37" t="s">
        <v>354</v>
      </c>
      <c r="G33" s="37" t="s">
        <v>355</v>
      </c>
      <c r="H33" s="38" t="s">
        <v>356</v>
      </c>
      <c r="I33" s="37" t="s">
        <v>102</v>
      </c>
      <c r="J33" s="37" t="s">
        <v>113</v>
      </c>
      <c r="K33" s="37" t="s">
        <v>180</v>
      </c>
      <c r="L33" s="37" t="s">
        <v>164</v>
      </c>
      <c r="M33" s="39">
        <v>46248</v>
      </c>
      <c r="N33" s="37" t="s">
        <v>132</v>
      </c>
      <c r="O33" s="37" t="s">
        <v>172</v>
      </c>
      <c r="P33" s="37" t="s">
        <v>357</v>
      </c>
    </row>
    <row r="34" spans="1:16" ht="30" customHeight="1">
      <c r="A34" s="36" t="s">
        <v>358</v>
      </c>
      <c r="B34" s="37" t="s">
        <v>359</v>
      </c>
      <c r="C34" s="37" t="s">
        <v>360</v>
      </c>
      <c r="D34" s="37" t="s">
        <v>361</v>
      </c>
      <c r="E34" s="37" t="s">
        <v>176</v>
      </c>
      <c r="F34" s="37" t="s">
        <v>192</v>
      </c>
      <c r="G34" s="37" t="s">
        <v>362</v>
      </c>
      <c r="H34" s="38" t="s">
        <v>363</v>
      </c>
      <c r="I34" s="37" t="s">
        <v>102</v>
      </c>
      <c r="J34" s="37" t="s">
        <v>113</v>
      </c>
      <c r="K34" s="37" t="s">
        <v>180</v>
      </c>
      <c r="L34" s="37" t="s">
        <v>164</v>
      </c>
      <c r="M34" s="39">
        <v>46248</v>
      </c>
      <c r="N34" s="37" t="s">
        <v>132</v>
      </c>
      <c r="O34" s="37" t="s">
        <v>172</v>
      </c>
      <c r="P34" s="37" t="s">
        <v>364</v>
      </c>
    </row>
    <row r="35" spans="1:16" ht="30" customHeight="1">
      <c r="A35" s="36" t="s">
        <v>365</v>
      </c>
      <c r="B35" s="40" t="s">
        <v>359</v>
      </c>
      <c r="C35" s="40" t="s">
        <v>366</v>
      </c>
      <c r="D35" s="40" t="s">
        <v>367</v>
      </c>
      <c r="E35" s="40" t="s">
        <v>176</v>
      </c>
      <c r="F35" s="40" t="s">
        <v>368</v>
      </c>
      <c r="G35" s="40" t="s">
        <v>369</v>
      </c>
      <c r="H35" s="38" t="s">
        <v>370</v>
      </c>
      <c r="I35" s="37" t="s">
        <v>102</v>
      </c>
      <c r="J35" s="40" t="s">
        <v>113</v>
      </c>
      <c r="K35" s="40" t="s">
        <v>180</v>
      </c>
      <c r="L35" s="37" t="s">
        <v>164</v>
      </c>
      <c r="M35" s="39">
        <v>46248</v>
      </c>
      <c r="N35" s="37" t="s">
        <v>132</v>
      </c>
      <c r="O35" s="40" t="s">
        <v>172</v>
      </c>
      <c r="P35" s="40" t="s">
        <v>371</v>
      </c>
    </row>
    <row r="36" spans="1:16" ht="30" customHeight="1">
      <c r="A36" s="36" t="s">
        <v>372</v>
      </c>
      <c r="B36" s="40" t="s">
        <v>359</v>
      </c>
      <c r="C36" s="40" t="s">
        <v>373</v>
      </c>
      <c r="D36" s="40" t="s">
        <v>374</v>
      </c>
      <c r="E36" s="40" t="s">
        <v>176</v>
      </c>
      <c r="F36" s="40" t="s">
        <v>192</v>
      </c>
      <c r="G36" s="40" t="s">
        <v>375</v>
      </c>
      <c r="H36" s="38" t="s">
        <v>376</v>
      </c>
      <c r="I36" s="37" t="s">
        <v>102</v>
      </c>
      <c r="J36" s="40" t="s">
        <v>113</v>
      </c>
      <c r="K36" s="40" t="s">
        <v>180</v>
      </c>
      <c r="L36" s="37" t="s">
        <v>164</v>
      </c>
      <c r="M36" s="39">
        <v>46248</v>
      </c>
      <c r="N36" s="37" t="s">
        <v>132</v>
      </c>
      <c r="O36" s="40" t="s">
        <v>172</v>
      </c>
      <c r="P36" s="40" t="s">
        <v>377</v>
      </c>
    </row>
    <row r="37" spans="1:16" ht="30" customHeight="1">
      <c r="A37" s="36" t="s">
        <v>378</v>
      </c>
      <c r="B37" s="40" t="s">
        <v>359</v>
      </c>
      <c r="C37" s="40" t="s">
        <v>379</v>
      </c>
      <c r="D37" s="40" t="s">
        <v>380</v>
      </c>
      <c r="E37" s="40" t="s">
        <v>176</v>
      </c>
      <c r="F37" s="40" t="s">
        <v>258</v>
      </c>
      <c r="G37" s="40" t="s">
        <v>381</v>
      </c>
      <c r="H37" s="38" t="s">
        <v>382</v>
      </c>
      <c r="I37" s="37" t="s">
        <v>102</v>
      </c>
      <c r="J37" s="40" t="s">
        <v>113</v>
      </c>
      <c r="K37" s="40" t="s">
        <v>180</v>
      </c>
      <c r="L37" s="37" t="s">
        <v>164</v>
      </c>
      <c r="M37" s="39">
        <v>46248</v>
      </c>
      <c r="N37" s="37" t="s">
        <v>132</v>
      </c>
      <c r="O37" s="40" t="s">
        <v>172</v>
      </c>
      <c r="P37" s="40" t="s">
        <v>383</v>
      </c>
    </row>
    <row r="38" spans="1:16" ht="30" customHeight="1">
      <c r="A38" s="36" t="s">
        <v>384</v>
      </c>
      <c r="B38" s="37" t="s">
        <v>385</v>
      </c>
      <c r="C38" s="37" t="s">
        <v>386</v>
      </c>
      <c r="D38" s="37" t="s">
        <v>387</v>
      </c>
      <c r="E38" s="37" t="s">
        <v>176</v>
      </c>
      <c r="F38" s="37" t="s">
        <v>388</v>
      </c>
      <c r="G38" s="37" t="s">
        <v>389</v>
      </c>
      <c r="H38" s="38" t="s">
        <v>390</v>
      </c>
      <c r="I38" s="37" t="s">
        <v>102</v>
      </c>
      <c r="J38" s="37" t="s">
        <v>113</v>
      </c>
      <c r="K38" s="37" t="s">
        <v>180</v>
      </c>
      <c r="L38" s="37" t="s">
        <v>164</v>
      </c>
      <c r="M38" s="39">
        <v>46248</v>
      </c>
      <c r="N38" s="37" t="s">
        <v>132</v>
      </c>
      <c r="O38" s="37" t="s">
        <v>172</v>
      </c>
      <c r="P38" s="37" t="s">
        <v>391</v>
      </c>
    </row>
    <row r="39" spans="1:16" ht="30" customHeight="1">
      <c r="A39" s="36" t="s">
        <v>392</v>
      </c>
      <c r="B39" s="37" t="s">
        <v>385</v>
      </c>
      <c r="C39" s="37" t="s">
        <v>393</v>
      </c>
      <c r="D39" s="37" t="s">
        <v>394</v>
      </c>
      <c r="E39" s="37" t="s">
        <v>176</v>
      </c>
      <c r="F39" s="37" t="s">
        <v>395</v>
      </c>
      <c r="G39" s="37" t="s">
        <v>396</v>
      </c>
      <c r="H39" s="38" t="s">
        <v>397</v>
      </c>
      <c r="I39" s="37" t="s">
        <v>102</v>
      </c>
      <c r="J39" s="37" t="s">
        <v>113</v>
      </c>
      <c r="K39" s="37" t="s">
        <v>180</v>
      </c>
      <c r="L39" s="37" t="s">
        <v>164</v>
      </c>
      <c r="M39" s="39">
        <v>46248</v>
      </c>
      <c r="N39" s="37" t="s">
        <v>132</v>
      </c>
      <c r="O39" s="37" t="s">
        <v>172</v>
      </c>
      <c r="P39" s="37" t="s">
        <v>398</v>
      </c>
    </row>
    <row r="40" spans="1:16" ht="30" customHeight="1">
      <c r="A40" s="36" t="s">
        <v>399</v>
      </c>
      <c r="B40" s="40" t="s">
        <v>400</v>
      </c>
      <c r="C40" s="40" t="s">
        <v>401</v>
      </c>
      <c r="D40" s="40" t="s">
        <v>402</v>
      </c>
      <c r="E40" s="40" t="s">
        <v>176</v>
      </c>
      <c r="F40" s="40" t="s">
        <v>403</v>
      </c>
      <c r="G40" s="40" t="s">
        <v>404</v>
      </c>
      <c r="H40" s="38" t="s">
        <v>405</v>
      </c>
      <c r="I40" s="37" t="s">
        <v>102</v>
      </c>
      <c r="J40" s="40" t="s">
        <v>113</v>
      </c>
      <c r="K40" s="40" t="s">
        <v>180</v>
      </c>
      <c r="L40" s="37" t="s">
        <v>164</v>
      </c>
      <c r="M40" s="39">
        <v>46248</v>
      </c>
      <c r="N40" s="37" t="s">
        <v>132</v>
      </c>
      <c r="O40" s="40" t="s">
        <v>172</v>
      </c>
      <c r="P40" s="40" t="s">
        <v>406</v>
      </c>
    </row>
    <row r="41" spans="1:16" ht="30" customHeight="1">
      <c r="A41" s="36" t="s">
        <v>407</v>
      </c>
      <c r="B41" s="37" t="s">
        <v>400</v>
      </c>
      <c r="C41" s="37" t="s">
        <v>408</v>
      </c>
      <c r="D41" s="37" t="s">
        <v>409</v>
      </c>
      <c r="E41" s="37" t="s">
        <v>176</v>
      </c>
      <c r="F41" s="37" t="s">
        <v>192</v>
      </c>
      <c r="G41" s="37" t="s">
        <v>410</v>
      </c>
      <c r="H41" s="38" t="s">
        <v>411</v>
      </c>
      <c r="I41" s="37" t="s">
        <v>102</v>
      </c>
      <c r="J41" s="37" t="s">
        <v>113</v>
      </c>
      <c r="K41" s="37" t="s">
        <v>180</v>
      </c>
      <c r="L41" s="37" t="s">
        <v>164</v>
      </c>
      <c r="M41" s="39">
        <v>46248</v>
      </c>
      <c r="N41" s="37" t="s">
        <v>132</v>
      </c>
      <c r="O41" s="37" t="s">
        <v>172</v>
      </c>
      <c r="P41" s="37" t="s">
        <v>412</v>
      </c>
    </row>
    <row r="42" spans="1:16" ht="30" customHeight="1">
      <c r="A42" s="36" t="s">
        <v>413</v>
      </c>
      <c r="B42" s="40" t="s">
        <v>400</v>
      </c>
      <c r="C42" s="40" t="s">
        <v>414</v>
      </c>
      <c r="D42" s="40" t="s">
        <v>415</v>
      </c>
      <c r="E42" s="40" t="s">
        <v>176</v>
      </c>
      <c r="F42" s="40" t="s">
        <v>192</v>
      </c>
      <c r="G42" s="40" t="s">
        <v>416</v>
      </c>
      <c r="H42" s="38" t="s">
        <v>417</v>
      </c>
      <c r="I42" s="37" t="s">
        <v>102</v>
      </c>
      <c r="J42" s="40" t="s">
        <v>113</v>
      </c>
      <c r="K42" s="40" t="s">
        <v>180</v>
      </c>
      <c r="L42" s="37" t="s">
        <v>164</v>
      </c>
      <c r="M42" s="39">
        <v>46248</v>
      </c>
      <c r="N42" s="37" t="s">
        <v>132</v>
      </c>
      <c r="O42" s="40" t="s">
        <v>172</v>
      </c>
      <c r="P42" s="40" t="s">
        <v>418</v>
      </c>
    </row>
    <row r="43" spans="1:16" ht="30" customHeight="1">
      <c r="A43" s="36" t="s">
        <v>419</v>
      </c>
      <c r="B43" s="37" t="s">
        <v>420</v>
      </c>
      <c r="C43" s="37" t="s">
        <v>421</v>
      </c>
      <c r="D43" s="37" t="s">
        <v>422</v>
      </c>
      <c r="E43" s="37" t="s">
        <v>176</v>
      </c>
      <c r="F43" s="37" t="s">
        <v>423</v>
      </c>
      <c r="G43" s="37" t="s">
        <v>424</v>
      </c>
      <c r="H43" s="38" t="s">
        <v>425</v>
      </c>
      <c r="I43" s="37" t="s">
        <v>102</v>
      </c>
      <c r="J43" s="37" t="s">
        <v>113</v>
      </c>
      <c r="K43" s="37" t="s">
        <v>180</v>
      </c>
      <c r="L43" s="37" t="s">
        <v>164</v>
      </c>
      <c r="M43" s="39">
        <v>46248</v>
      </c>
      <c r="N43" s="37" t="s">
        <v>132</v>
      </c>
      <c r="O43" s="37" t="s">
        <v>172</v>
      </c>
      <c r="P43" s="37" t="s">
        <v>426</v>
      </c>
    </row>
    <row r="44" spans="1:16" ht="30" customHeight="1">
      <c r="A44" s="36" t="s">
        <v>427</v>
      </c>
      <c r="B44" s="40" t="s">
        <v>420</v>
      </c>
      <c r="C44" s="40" t="s">
        <v>428</v>
      </c>
      <c r="D44" s="40" t="s">
        <v>429</v>
      </c>
      <c r="E44" s="40" t="s">
        <v>176</v>
      </c>
      <c r="F44" s="40" t="s">
        <v>430</v>
      </c>
      <c r="G44" s="40" t="s">
        <v>431</v>
      </c>
      <c r="H44" s="38" t="s">
        <v>432</v>
      </c>
      <c r="I44" s="37" t="s">
        <v>102</v>
      </c>
      <c r="J44" s="40" t="s">
        <v>113</v>
      </c>
      <c r="K44" s="40" t="s">
        <v>180</v>
      </c>
      <c r="L44" s="37" t="s">
        <v>164</v>
      </c>
      <c r="M44" s="39">
        <v>46248</v>
      </c>
      <c r="N44" s="37" t="s">
        <v>132</v>
      </c>
      <c r="O44" s="40" t="s">
        <v>172</v>
      </c>
      <c r="P44" s="40" t="s">
        <v>433</v>
      </c>
    </row>
    <row r="45" spans="1:16" ht="30" customHeight="1">
      <c r="A45" s="36" t="s">
        <v>434</v>
      </c>
      <c r="B45" s="37" t="s">
        <v>420</v>
      </c>
      <c r="C45" s="37" t="s">
        <v>435</v>
      </c>
      <c r="D45" s="37" t="s">
        <v>436</v>
      </c>
      <c r="E45" s="37" t="s">
        <v>176</v>
      </c>
      <c r="F45" s="37" t="s">
        <v>437</v>
      </c>
      <c r="G45" s="37" t="s">
        <v>438</v>
      </c>
      <c r="H45" s="38" t="s">
        <v>439</v>
      </c>
      <c r="I45" s="37" t="s">
        <v>102</v>
      </c>
      <c r="J45" s="37" t="s">
        <v>113</v>
      </c>
      <c r="K45" s="37" t="s">
        <v>180</v>
      </c>
      <c r="L45" s="37" t="s">
        <v>164</v>
      </c>
      <c r="M45" s="39">
        <v>46248</v>
      </c>
      <c r="N45" s="37" t="s">
        <v>132</v>
      </c>
      <c r="O45" s="37" t="s">
        <v>172</v>
      </c>
      <c r="P45" s="37" t="s">
        <v>440</v>
      </c>
    </row>
    <row r="46" spans="1:16" ht="30" customHeight="1">
      <c r="A46" s="36" t="s">
        <v>441</v>
      </c>
      <c r="B46" s="37" t="s">
        <v>420</v>
      </c>
      <c r="C46" s="37" t="s">
        <v>442</v>
      </c>
      <c r="D46" s="37" t="s">
        <v>443</v>
      </c>
      <c r="E46" s="37" t="s">
        <v>176</v>
      </c>
      <c r="F46" s="37" t="s">
        <v>192</v>
      </c>
      <c r="G46" s="37" t="s">
        <v>444</v>
      </c>
      <c r="H46" s="38" t="s">
        <v>445</v>
      </c>
      <c r="I46" s="37" t="s">
        <v>102</v>
      </c>
      <c r="J46" s="37" t="s">
        <v>113</v>
      </c>
      <c r="K46" s="37" t="s">
        <v>180</v>
      </c>
      <c r="L46" s="37" t="s">
        <v>164</v>
      </c>
      <c r="M46" s="39">
        <v>46248</v>
      </c>
      <c r="N46" s="37" t="s">
        <v>132</v>
      </c>
      <c r="O46" s="37" t="s">
        <v>172</v>
      </c>
      <c r="P46" s="37" t="s">
        <v>446</v>
      </c>
    </row>
    <row r="47" spans="1:16" ht="30" customHeight="1">
      <c r="A47" s="36" t="s">
        <v>447</v>
      </c>
      <c r="B47" s="37" t="s">
        <v>420</v>
      </c>
      <c r="C47" s="37" t="s">
        <v>448</v>
      </c>
      <c r="D47" s="37" t="s">
        <v>449</v>
      </c>
      <c r="E47" s="37" t="s">
        <v>176</v>
      </c>
      <c r="F47" s="37" t="s">
        <v>450</v>
      </c>
      <c r="G47" s="37" t="s">
        <v>451</v>
      </c>
      <c r="H47" s="38" t="s">
        <v>452</v>
      </c>
      <c r="I47" s="37" t="s">
        <v>102</v>
      </c>
      <c r="J47" s="37" t="s">
        <v>113</v>
      </c>
      <c r="K47" s="37" t="s">
        <v>180</v>
      </c>
      <c r="L47" s="37" t="s">
        <v>164</v>
      </c>
      <c r="M47" s="39">
        <v>46248</v>
      </c>
      <c r="N47" s="37" t="s">
        <v>132</v>
      </c>
      <c r="O47" s="37" t="s">
        <v>172</v>
      </c>
      <c r="P47" s="37" t="s">
        <v>453</v>
      </c>
    </row>
    <row r="48" spans="1:16" ht="30" customHeight="1">
      <c r="A48" s="36" t="s">
        <v>454</v>
      </c>
      <c r="B48" s="40" t="s">
        <v>420</v>
      </c>
      <c r="C48" s="40" t="s">
        <v>455</v>
      </c>
      <c r="D48" s="40" t="s">
        <v>456</v>
      </c>
      <c r="E48" s="40" t="s">
        <v>176</v>
      </c>
      <c r="F48" s="40" t="s">
        <v>457</v>
      </c>
      <c r="G48" s="40" t="s">
        <v>458</v>
      </c>
      <c r="H48" s="38" t="s">
        <v>459</v>
      </c>
      <c r="I48" s="37" t="s">
        <v>102</v>
      </c>
      <c r="J48" s="40" t="s">
        <v>113</v>
      </c>
      <c r="K48" s="40" t="s">
        <v>180</v>
      </c>
      <c r="L48" s="37" t="s">
        <v>164</v>
      </c>
      <c r="M48" s="39">
        <v>46248</v>
      </c>
      <c r="N48" s="37" t="s">
        <v>132</v>
      </c>
      <c r="O48" s="40" t="s">
        <v>172</v>
      </c>
      <c r="P48" s="40" t="s">
        <v>460</v>
      </c>
    </row>
    <row r="49" spans="1:16" ht="30" customHeight="1">
      <c r="A49" s="36" t="s">
        <v>461</v>
      </c>
      <c r="B49" s="37" t="s">
        <v>462</v>
      </c>
      <c r="C49" s="37" t="s">
        <v>463</v>
      </c>
      <c r="D49" s="37" t="s">
        <v>464</v>
      </c>
      <c r="E49" s="37" t="s">
        <v>176</v>
      </c>
      <c r="F49" s="37" t="s">
        <v>465</v>
      </c>
      <c r="G49" s="37" t="s">
        <v>466</v>
      </c>
      <c r="H49" s="38" t="s">
        <v>467</v>
      </c>
      <c r="I49" s="37" t="s">
        <v>102</v>
      </c>
      <c r="J49" s="37" t="s">
        <v>113</v>
      </c>
      <c r="K49" s="37" t="s">
        <v>180</v>
      </c>
      <c r="L49" s="37" t="s">
        <v>164</v>
      </c>
      <c r="M49" s="39">
        <v>46248</v>
      </c>
      <c r="N49" s="37" t="s">
        <v>132</v>
      </c>
      <c r="O49" s="37" t="s">
        <v>172</v>
      </c>
      <c r="P49" s="37" t="s">
        <v>468</v>
      </c>
    </row>
    <row r="50" spans="1:16" ht="30" customHeight="1">
      <c r="A50" s="36" t="s">
        <v>469</v>
      </c>
      <c r="B50" s="40" t="s">
        <v>462</v>
      </c>
      <c r="C50" s="40" t="s">
        <v>470</v>
      </c>
      <c r="D50" s="40" t="s">
        <v>471</v>
      </c>
      <c r="E50" s="40" t="s">
        <v>176</v>
      </c>
      <c r="F50" s="40" t="s">
        <v>403</v>
      </c>
      <c r="G50" s="40" t="s">
        <v>472</v>
      </c>
      <c r="H50" s="38" t="s">
        <v>473</v>
      </c>
      <c r="I50" s="37" t="s">
        <v>102</v>
      </c>
      <c r="J50" s="40" t="s">
        <v>113</v>
      </c>
      <c r="K50" s="40" t="s">
        <v>180</v>
      </c>
      <c r="L50" s="37" t="s">
        <v>164</v>
      </c>
      <c r="M50" s="39">
        <v>46248</v>
      </c>
      <c r="N50" s="37" t="s">
        <v>132</v>
      </c>
      <c r="O50" s="40" t="s">
        <v>172</v>
      </c>
      <c r="P50" s="40" t="s">
        <v>474</v>
      </c>
    </row>
    <row r="51" spans="1:16" ht="30" customHeight="1">
      <c r="A51" s="36" t="s">
        <v>475</v>
      </c>
      <c r="B51" s="37" t="s">
        <v>462</v>
      </c>
      <c r="C51" s="37" t="s">
        <v>476</v>
      </c>
      <c r="D51" s="37" t="s">
        <v>477</v>
      </c>
      <c r="E51" s="37" t="s">
        <v>176</v>
      </c>
      <c r="F51" s="37" t="s">
        <v>478</v>
      </c>
      <c r="G51" s="37" t="s">
        <v>479</v>
      </c>
      <c r="H51" s="38" t="s">
        <v>480</v>
      </c>
      <c r="I51" s="37" t="s">
        <v>102</v>
      </c>
      <c r="J51" s="37" t="s">
        <v>113</v>
      </c>
      <c r="K51" s="37" t="s">
        <v>180</v>
      </c>
      <c r="L51" s="37" t="s">
        <v>164</v>
      </c>
      <c r="M51" s="39">
        <v>46248</v>
      </c>
      <c r="N51" s="37" t="s">
        <v>132</v>
      </c>
      <c r="O51" s="37" t="s">
        <v>172</v>
      </c>
      <c r="P51" s="37" t="s">
        <v>481</v>
      </c>
    </row>
    <row r="52" spans="1:16" ht="30" customHeight="1">
      <c r="A52" s="36" t="s">
        <v>482</v>
      </c>
      <c r="B52" s="40" t="s">
        <v>462</v>
      </c>
      <c r="C52" s="40" t="s">
        <v>483</v>
      </c>
      <c r="D52" s="40" t="s">
        <v>484</v>
      </c>
      <c r="E52" s="40" t="s">
        <v>176</v>
      </c>
      <c r="F52" s="40" t="s">
        <v>403</v>
      </c>
      <c r="G52" s="40" t="s">
        <v>472</v>
      </c>
      <c r="H52" s="38" t="s">
        <v>485</v>
      </c>
      <c r="I52" s="37" t="s">
        <v>102</v>
      </c>
      <c r="J52" s="40" t="s">
        <v>113</v>
      </c>
      <c r="K52" s="40" t="s">
        <v>180</v>
      </c>
      <c r="L52" s="37" t="s">
        <v>164</v>
      </c>
      <c r="M52" s="39">
        <v>46248</v>
      </c>
      <c r="N52" s="37" t="s">
        <v>132</v>
      </c>
      <c r="O52" s="40" t="s">
        <v>172</v>
      </c>
      <c r="P52" s="40" t="s">
        <v>486</v>
      </c>
    </row>
    <row r="53" spans="1:16" ht="30" customHeight="1">
      <c r="A53" s="36" t="s">
        <v>487</v>
      </c>
      <c r="B53" s="37" t="s">
        <v>462</v>
      </c>
      <c r="C53" s="37" t="s">
        <v>488</v>
      </c>
      <c r="D53" s="37" t="s">
        <v>489</v>
      </c>
      <c r="E53" s="37" t="s">
        <v>176</v>
      </c>
      <c r="F53" s="37" t="s">
        <v>490</v>
      </c>
      <c r="G53" s="37" t="s">
        <v>491</v>
      </c>
      <c r="H53" s="38" t="s">
        <v>492</v>
      </c>
      <c r="I53" s="37" t="s">
        <v>102</v>
      </c>
      <c r="J53" s="37" t="s">
        <v>113</v>
      </c>
      <c r="K53" s="37" t="s">
        <v>180</v>
      </c>
      <c r="L53" s="37" t="s">
        <v>164</v>
      </c>
      <c r="M53" s="39">
        <v>46248</v>
      </c>
      <c r="N53" s="37" t="s">
        <v>132</v>
      </c>
      <c r="O53" s="37" t="s">
        <v>172</v>
      </c>
      <c r="P53" s="37" t="s">
        <v>493</v>
      </c>
    </row>
    <row r="54" spans="1:16" ht="30" customHeight="1">
      <c r="A54" s="36" t="s">
        <v>494</v>
      </c>
      <c r="B54" s="40" t="s">
        <v>462</v>
      </c>
      <c r="C54" s="40" t="s">
        <v>495</v>
      </c>
      <c r="D54" s="40" t="s">
        <v>496</v>
      </c>
      <c r="E54" s="40" t="s">
        <v>176</v>
      </c>
      <c r="F54" s="40" t="s">
        <v>403</v>
      </c>
      <c r="G54" s="40" t="s">
        <v>472</v>
      </c>
      <c r="H54" s="38" t="s">
        <v>497</v>
      </c>
      <c r="I54" s="37" t="s">
        <v>102</v>
      </c>
      <c r="J54" s="40" t="s">
        <v>113</v>
      </c>
      <c r="K54" s="40" t="s">
        <v>180</v>
      </c>
      <c r="L54" s="37" t="s">
        <v>164</v>
      </c>
      <c r="M54" s="39">
        <v>46248</v>
      </c>
      <c r="N54" s="37" t="s">
        <v>132</v>
      </c>
      <c r="O54" s="40" t="s">
        <v>172</v>
      </c>
      <c r="P54" s="40" t="s">
        <v>498</v>
      </c>
    </row>
    <row r="55" spans="1:16" ht="30" customHeight="1">
      <c r="A55" s="36" t="s">
        <v>499</v>
      </c>
      <c r="B55" s="37" t="s">
        <v>500</v>
      </c>
      <c r="C55" s="37" t="s">
        <v>501</v>
      </c>
      <c r="D55" s="37" t="s">
        <v>502</v>
      </c>
      <c r="E55" s="37" t="s">
        <v>176</v>
      </c>
      <c r="F55" s="37" t="s">
        <v>503</v>
      </c>
      <c r="G55" s="37" t="s">
        <v>504</v>
      </c>
      <c r="H55" s="38" t="s">
        <v>505</v>
      </c>
      <c r="I55" s="37" t="s">
        <v>102</v>
      </c>
      <c r="J55" s="37" t="s">
        <v>113</v>
      </c>
      <c r="K55" s="37" t="s">
        <v>180</v>
      </c>
      <c r="L55" s="37" t="s">
        <v>164</v>
      </c>
      <c r="M55" s="39">
        <v>46248</v>
      </c>
      <c r="N55" s="37" t="s">
        <v>132</v>
      </c>
      <c r="O55" s="37" t="s">
        <v>172</v>
      </c>
      <c r="P55" s="37" t="s">
        <v>506</v>
      </c>
    </row>
    <row r="56" spans="1:16" ht="30" customHeight="1">
      <c r="A56" s="36" t="s">
        <v>507</v>
      </c>
      <c r="B56" s="37" t="s">
        <v>500</v>
      </c>
      <c r="C56" s="37" t="s">
        <v>508</v>
      </c>
      <c r="D56" s="37" t="s">
        <v>509</v>
      </c>
      <c r="E56" s="37" t="s">
        <v>176</v>
      </c>
      <c r="F56" s="37" t="s">
        <v>510</v>
      </c>
      <c r="G56" s="37" t="s">
        <v>511</v>
      </c>
      <c r="H56" s="38" t="s">
        <v>512</v>
      </c>
      <c r="I56" s="37" t="s">
        <v>102</v>
      </c>
      <c r="J56" s="37" t="s">
        <v>113</v>
      </c>
      <c r="K56" s="37" t="s">
        <v>180</v>
      </c>
      <c r="L56" s="37" t="s">
        <v>164</v>
      </c>
      <c r="M56" s="39">
        <v>46248</v>
      </c>
      <c r="N56" s="37" t="s">
        <v>132</v>
      </c>
      <c r="O56" s="37" t="s">
        <v>172</v>
      </c>
      <c r="P56" s="37" t="s">
        <v>513</v>
      </c>
    </row>
    <row r="57" spans="1:16" ht="30" customHeight="1">
      <c r="A57" s="36" t="s">
        <v>514</v>
      </c>
      <c r="B57" s="37" t="s">
        <v>515</v>
      </c>
      <c r="C57" s="37" t="s">
        <v>516</v>
      </c>
      <c r="D57" s="37" t="s">
        <v>517</v>
      </c>
      <c r="E57" s="37" t="s">
        <v>176</v>
      </c>
      <c r="F57" s="37" t="s">
        <v>518</v>
      </c>
      <c r="G57" s="37" t="s">
        <v>519</v>
      </c>
      <c r="H57" s="38" t="s">
        <v>520</v>
      </c>
      <c r="I57" s="37" t="s">
        <v>102</v>
      </c>
      <c r="J57" s="37" t="s">
        <v>113</v>
      </c>
      <c r="K57" s="37" t="s">
        <v>180</v>
      </c>
      <c r="L57" s="37" t="s">
        <v>164</v>
      </c>
      <c r="M57" s="39">
        <v>46248</v>
      </c>
      <c r="N57" s="37" t="s">
        <v>132</v>
      </c>
      <c r="O57" s="37" t="s">
        <v>172</v>
      </c>
      <c r="P57" s="37" t="s">
        <v>521</v>
      </c>
    </row>
    <row r="58" spans="1:16" ht="30" customHeight="1">
      <c r="A58" s="36" t="s">
        <v>522</v>
      </c>
      <c r="B58" s="40" t="s">
        <v>515</v>
      </c>
      <c r="C58" s="40" t="s">
        <v>523</v>
      </c>
      <c r="D58" s="40" t="s">
        <v>524</v>
      </c>
      <c r="E58" s="40" t="s">
        <v>176</v>
      </c>
      <c r="F58" s="40" t="s">
        <v>192</v>
      </c>
      <c r="G58" s="40" t="s">
        <v>525</v>
      </c>
      <c r="H58" s="38" t="s">
        <v>526</v>
      </c>
      <c r="I58" s="37" t="s">
        <v>102</v>
      </c>
      <c r="J58" s="40" t="s">
        <v>113</v>
      </c>
      <c r="K58" s="40" t="s">
        <v>180</v>
      </c>
      <c r="L58" s="37" t="s">
        <v>164</v>
      </c>
      <c r="M58" s="39">
        <v>46248</v>
      </c>
      <c r="N58" s="37" t="s">
        <v>132</v>
      </c>
      <c r="O58" s="40" t="s">
        <v>172</v>
      </c>
      <c r="P58" s="40" t="s">
        <v>527</v>
      </c>
    </row>
    <row r="59" spans="1:16" ht="30" customHeight="1">
      <c r="A59" s="36" t="s">
        <v>528</v>
      </c>
      <c r="B59" s="37" t="s">
        <v>529</v>
      </c>
      <c r="C59" s="37" t="s">
        <v>530</v>
      </c>
      <c r="D59" s="37" t="s">
        <v>531</v>
      </c>
      <c r="E59" s="37" t="s">
        <v>176</v>
      </c>
      <c r="F59" s="37" t="s">
        <v>192</v>
      </c>
      <c r="G59" s="37" t="s">
        <v>532</v>
      </c>
      <c r="H59" s="38" t="s">
        <v>533</v>
      </c>
      <c r="I59" s="37" t="s">
        <v>102</v>
      </c>
      <c r="J59" s="37" t="s">
        <v>115</v>
      </c>
      <c r="K59" s="37" t="s">
        <v>201</v>
      </c>
      <c r="L59" s="37" t="s">
        <v>164</v>
      </c>
      <c r="M59" s="39">
        <v>46248</v>
      </c>
      <c r="N59" s="37" t="s">
        <v>132</v>
      </c>
      <c r="O59" s="37" t="s">
        <v>172</v>
      </c>
      <c r="P59" s="37" t="s">
        <v>534</v>
      </c>
    </row>
    <row r="60" spans="1:16" ht="30" customHeight="1">
      <c r="A60" s="36" t="s">
        <v>535</v>
      </c>
      <c r="B60" s="40" t="s">
        <v>529</v>
      </c>
      <c r="C60" s="40" t="s">
        <v>536</v>
      </c>
      <c r="D60" s="40" t="s">
        <v>537</v>
      </c>
      <c r="E60" s="40" t="s">
        <v>176</v>
      </c>
      <c r="F60" s="40" t="s">
        <v>192</v>
      </c>
      <c r="G60" s="40" t="s">
        <v>538</v>
      </c>
      <c r="H60" s="38" t="s">
        <v>539</v>
      </c>
      <c r="I60" s="37" t="s">
        <v>102</v>
      </c>
      <c r="J60" s="40" t="s">
        <v>115</v>
      </c>
      <c r="K60" s="40" t="s">
        <v>201</v>
      </c>
      <c r="L60" s="37" t="s">
        <v>164</v>
      </c>
      <c r="M60" s="39">
        <v>46248</v>
      </c>
      <c r="N60" s="37" t="s">
        <v>132</v>
      </c>
      <c r="O60" s="40" t="s">
        <v>172</v>
      </c>
      <c r="P60" s="40" t="s">
        <v>540</v>
      </c>
    </row>
    <row r="61" spans="1:16" ht="30" customHeight="1">
      <c r="A61" s="36" t="s">
        <v>541</v>
      </c>
      <c r="B61" s="40" t="s">
        <v>529</v>
      </c>
      <c r="C61" s="40" t="s">
        <v>542</v>
      </c>
      <c r="D61" s="40" t="s">
        <v>543</v>
      </c>
      <c r="E61" s="40" t="s">
        <v>176</v>
      </c>
      <c r="F61" s="40" t="s">
        <v>192</v>
      </c>
      <c r="G61" s="40" t="s">
        <v>544</v>
      </c>
      <c r="H61" s="38" t="s">
        <v>545</v>
      </c>
      <c r="I61" s="37" t="s">
        <v>102</v>
      </c>
      <c r="J61" s="40" t="s">
        <v>113</v>
      </c>
      <c r="K61" s="40" t="s">
        <v>180</v>
      </c>
      <c r="L61" s="37" t="s">
        <v>164</v>
      </c>
      <c r="M61" s="39">
        <v>46248</v>
      </c>
      <c r="N61" s="37" t="s">
        <v>132</v>
      </c>
      <c r="O61" s="40" t="s">
        <v>172</v>
      </c>
      <c r="P61" s="40" t="s">
        <v>546</v>
      </c>
    </row>
    <row r="62" spans="1:16" ht="30" customHeight="1">
      <c r="A62" s="36" t="s">
        <v>547</v>
      </c>
      <c r="B62" s="37" t="s">
        <v>548</v>
      </c>
      <c r="C62" s="37" t="s">
        <v>549</v>
      </c>
      <c r="D62" s="37" t="s">
        <v>550</v>
      </c>
      <c r="E62" s="37" t="s">
        <v>176</v>
      </c>
      <c r="F62" s="37" t="s">
        <v>192</v>
      </c>
      <c r="G62" s="37" t="s">
        <v>551</v>
      </c>
      <c r="H62" s="38" t="s">
        <v>552</v>
      </c>
      <c r="I62" s="37" t="s">
        <v>102</v>
      </c>
      <c r="J62" s="37" t="s">
        <v>113</v>
      </c>
      <c r="K62" s="37" t="s">
        <v>180</v>
      </c>
      <c r="L62" s="37" t="s">
        <v>164</v>
      </c>
      <c r="M62" s="39">
        <v>46248</v>
      </c>
      <c r="N62" s="37" t="s">
        <v>132</v>
      </c>
      <c r="O62" s="37" t="s">
        <v>172</v>
      </c>
      <c r="P62" s="37" t="s">
        <v>553</v>
      </c>
    </row>
    <row r="63" spans="1:16" ht="30" customHeight="1">
      <c r="A63" s="36" t="s">
        <v>554</v>
      </c>
      <c r="B63" s="40" t="s">
        <v>548</v>
      </c>
      <c r="C63" s="40" t="s">
        <v>555</v>
      </c>
      <c r="D63" s="40" t="s">
        <v>556</v>
      </c>
      <c r="E63" s="40" t="s">
        <v>176</v>
      </c>
      <c r="F63" s="40" t="s">
        <v>192</v>
      </c>
      <c r="G63" s="40" t="s">
        <v>557</v>
      </c>
      <c r="H63" s="38" t="s">
        <v>558</v>
      </c>
      <c r="I63" s="37" t="s">
        <v>102</v>
      </c>
      <c r="J63" s="40" t="s">
        <v>113</v>
      </c>
      <c r="K63" s="40" t="s">
        <v>180</v>
      </c>
      <c r="L63" s="37" t="s">
        <v>164</v>
      </c>
      <c r="M63" s="39">
        <v>46248</v>
      </c>
      <c r="N63" s="37" t="s">
        <v>132</v>
      </c>
      <c r="O63" s="40" t="s">
        <v>172</v>
      </c>
      <c r="P63" s="40" t="s">
        <v>559</v>
      </c>
    </row>
    <row r="64" spans="1:16" ht="30" customHeight="1">
      <c r="A64" s="36" t="s">
        <v>560</v>
      </c>
      <c r="B64" s="37" t="s">
        <v>548</v>
      </c>
      <c r="C64" s="37" t="s">
        <v>561</v>
      </c>
      <c r="D64" s="37" t="s">
        <v>562</v>
      </c>
      <c r="E64" s="37" t="s">
        <v>176</v>
      </c>
      <c r="F64" s="37" t="s">
        <v>192</v>
      </c>
      <c r="G64" s="37" t="s">
        <v>563</v>
      </c>
      <c r="H64" s="38" t="s">
        <v>564</v>
      </c>
      <c r="I64" s="37" t="s">
        <v>104</v>
      </c>
      <c r="J64" s="37" t="s">
        <v>113</v>
      </c>
      <c r="K64" s="37" t="s">
        <v>180</v>
      </c>
      <c r="L64" s="37" t="s">
        <v>164</v>
      </c>
      <c r="M64" s="39">
        <v>46248</v>
      </c>
      <c r="N64" s="37" t="s">
        <v>132</v>
      </c>
      <c r="O64" s="37" t="s">
        <v>172</v>
      </c>
      <c r="P64" s="37" t="s">
        <v>565</v>
      </c>
    </row>
    <row r="65" spans="1:16" ht="58.5">
      <c r="A65" s="36" t="s">
        <v>566</v>
      </c>
      <c r="B65" s="40" t="s">
        <v>567</v>
      </c>
      <c r="C65" s="40" t="s">
        <v>568</v>
      </c>
      <c r="D65" s="40" t="s">
        <v>569</v>
      </c>
      <c r="E65" s="40" t="s">
        <v>176</v>
      </c>
      <c r="F65" s="40" t="s">
        <v>192</v>
      </c>
      <c r="G65" s="40" t="s">
        <v>570</v>
      </c>
      <c r="H65" s="38" t="s">
        <v>571</v>
      </c>
      <c r="I65" s="37" t="s">
        <v>102</v>
      </c>
      <c r="J65" s="40" t="s">
        <v>115</v>
      </c>
      <c r="K65" s="40" t="s">
        <v>201</v>
      </c>
      <c r="L65" s="37" t="s">
        <v>164</v>
      </c>
      <c r="M65" s="39">
        <v>46248</v>
      </c>
      <c r="N65" s="37" t="s">
        <v>132</v>
      </c>
      <c r="O65" s="40" t="s">
        <v>172</v>
      </c>
      <c r="P65" s="40" t="s">
        <v>572</v>
      </c>
    </row>
    <row r="66" spans="1:16" ht="30" customHeight="1">
      <c r="A66" s="36" t="s">
        <v>573</v>
      </c>
      <c r="B66" s="37" t="s">
        <v>567</v>
      </c>
      <c r="C66" s="37" t="s">
        <v>574</v>
      </c>
      <c r="D66" s="37" t="s">
        <v>575</v>
      </c>
      <c r="E66" s="37" t="s">
        <v>176</v>
      </c>
      <c r="F66" s="37" t="s">
        <v>192</v>
      </c>
      <c r="G66" s="37" t="s">
        <v>576</v>
      </c>
      <c r="H66" s="38" t="s">
        <v>577</v>
      </c>
      <c r="I66" s="37" t="s">
        <v>104</v>
      </c>
      <c r="J66" s="37" t="s">
        <v>115</v>
      </c>
      <c r="K66" s="37" t="s">
        <v>201</v>
      </c>
      <c r="L66" s="37" t="s">
        <v>164</v>
      </c>
      <c r="M66" s="39">
        <v>46248</v>
      </c>
      <c r="N66" s="37" t="s">
        <v>132</v>
      </c>
      <c r="O66" s="37" t="s">
        <v>172</v>
      </c>
      <c r="P66" s="37" t="s">
        <v>578</v>
      </c>
    </row>
    <row r="67" spans="1:16" ht="58.5">
      <c r="A67" s="36" t="s">
        <v>579</v>
      </c>
      <c r="B67" s="40" t="s">
        <v>580</v>
      </c>
      <c r="C67" s="40" t="s">
        <v>581</v>
      </c>
      <c r="D67" s="40" t="s">
        <v>582</v>
      </c>
      <c r="E67" s="40" t="s">
        <v>176</v>
      </c>
      <c r="F67" s="40" t="s">
        <v>192</v>
      </c>
      <c r="G67" s="40" t="s">
        <v>583</v>
      </c>
      <c r="H67" s="38" t="s">
        <v>584</v>
      </c>
      <c r="I67" s="37" t="s">
        <v>102</v>
      </c>
      <c r="J67" s="40" t="s">
        <v>113</v>
      </c>
      <c r="K67" s="40" t="s">
        <v>180</v>
      </c>
      <c r="L67" s="37" t="s">
        <v>164</v>
      </c>
      <c r="M67" s="39">
        <v>46248</v>
      </c>
      <c r="N67" s="37" t="s">
        <v>132</v>
      </c>
      <c r="O67" s="40" t="s">
        <v>172</v>
      </c>
      <c r="P67" s="40" t="s">
        <v>585</v>
      </c>
    </row>
    <row r="68" spans="1:16" ht="30" customHeight="1">
      <c r="A68" s="36" t="s">
        <v>586</v>
      </c>
      <c r="B68" s="37" t="s">
        <v>580</v>
      </c>
      <c r="C68" s="37" t="s">
        <v>587</v>
      </c>
      <c r="D68" s="37" t="s">
        <v>588</v>
      </c>
      <c r="E68" s="37" t="s">
        <v>176</v>
      </c>
      <c r="F68" s="37" t="s">
        <v>192</v>
      </c>
      <c r="G68" s="37" t="s">
        <v>589</v>
      </c>
      <c r="H68" s="38" t="s">
        <v>590</v>
      </c>
      <c r="I68" s="37" t="s">
        <v>102</v>
      </c>
      <c r="J68" s="37" t="s">
        <v>113</v>
      </c>
      <c r="K68" s="37" t="s">
        <v>180</v>
      </c>
      <c r="L68" s="37" t="s">
        <v>164</v>
      </c>
      <c r="M68" s="39">
        <v>46248</v>
      </c>
      <c r="N68" s="37" t="s">
        <v>132</v>
      </c>
      <c r="O68" s="37" t="s">
        <v>172</v>
      </c>
      <c r="P68" s="37" t="s">
        <v>591</v>
      </c>
    </row>
    <row r="69" spans="1:16" ht="58.5">
      <c r="A69" s="36" t="s">
        <v>592</v>
      </c>
      <c r="B69" s="40" t="s">
        <v>580</v>
      </c>
      <c r="C69" s="40" t="s">
        <v>593</v>
      </c>
      <c r="D69" s="40" t="s">
        <v>594</v>
      </c>
      <c r="E69" s="40" t="s">
        <v>176</v>
      </c>
      <c r="F69" s="40" t="s">
        <v>192</v>
      </c>
      <c r="G69" s="40" t="s">
        <v>595</v>
      </c>
      <c r="H69" s="38" t="s">
        <v>596</v>
      </c>
      <c r="I69" s="37" t="s">
        <v>102</v>
      </c>
      <c r="J69" s="40" t="s">
        <v>111</v>
      </c>
      <c r="K69" s="40" t="s">
        <v>163</v>
      </c>
      <c r="L69" s="37" t="s">
        <v>164</v>
      </c>
      <c r="M69" s="39">
        <v>46248</v>
      </c>
      <c r="N69" s="37" t="s">
        <v>132</v>
      </c>
      <c r="O69" s="40" t="s">
        <v>172</v>
      </c>
      <c r="P69" s="40" t="s">
        <v>597</v>
      </c>
    </row>
    <row r="70" spans="1:16" ht="30" customHeight="1">
      <c r="A70" s="36" t="s">
        <v>598</v>
      </c>
      <c r="B70" s="37" t="s">
        <v>580</v>
      </c>
      <c r="C70" s="37" t="s">
        <v>599</v>
      </c>
      <c r="D70" s="37" t="s">
        <v>600</v>
      </c>
      <c r="E70" s="37" t="s">
        <v>176</v>
      </c>
      <c r="F70" s="37" t="s">
        <v>192</v>
      </c>
      <c r="G70" s="37" t="s">
        <v>601</v>
      </c>
      <c r="H70" s="38" t="s">
        <v>602</v>
      </c>
      <c r="I70" s="37" t="s">
        <v>102</v>
      </c>
      <c r="J70" s="37" t="s">
        <v>113</v>
      </c>
      <c r="K70" s="37" t="s">
        <v>180</v>
      </c>
      <c r="L70" s="37" t="s">
        <v>164</v>
      </c>
      <c r="M70" s="39">
        <v>46248</v>
      </c>
      <c r="N70" s="37" t="s">
        <v>132</v>
      </c>
      <c r="O70" s="37" t="s">
        <v>172</v>
      </c>
      <c r="P70" s="37" t="s">
        <v>603</v>
      </c>
    </row>
    <row r="71" spans="1:16" ht="58.5">
      <c r="A71" s="36" t="s">
        <v>604</v>
      </c>
      <c r="B71" s="40" t="s">
        <v>580</v>
      </c>
      <c r="C71" s="40" t="s">
        <v>605</v>
      </c>
      <c r="D71" s="40" t="s">
        <v>606</v>
      </c>
      <c r="E71" s="40" t="s">
        <v>176</v>
      </c>
      <c r="F71" s="40" t="s">
        <v>192</v>
      </c>
      <c r="G71" s="40" t="s">
        <v>607</v>
      </c>
      <c r="H71" s="38" t="s">
        <v>608</v>
      </c>
      <c r="I71" s="37" t="s">
        <v>102</v>
      </c>
      <c r="J71" s="40" t="s">
        <v>113</v>
      </c>
      <c r="K71" s="40" t="s">
        <v>180</v>
      </c>
      <c r="L71" s="37" t="s">
        <v>164</v>
      </c>
      <c r="M71" s="39">
        <v>46248</v>
      </c>
      <c r="N71" s="37" t="s">
        <v>132</v>
      </c>
      <c r="O71" s="40" t="s">
        <v>172</v>
      </c>
      <c r="P71" s="40" t="s">
        <v>609</v>
      </c>
    </row>
    <row r="72" spans="1:16" ht="30" customHeight="1">
      <c r="A72" s="36" t="s">
        <v>610</v>
      </c>
      <c r="B72" s="37" t="s">
        <v>580</v>
      </c>
      <c r="C72" s="37" t="s">
        <v>611</v>
      </c>
      <c r="D72" s="37" t="s">
        <v>612</v>
      </c>
      <c r="E72" s="37" t="s">
        <v>176</v>
      </c>
      <c r="F72" s="37" t="s">
        <v>192</v>
      </c>
      <c r="G72" s="37" t="s">
        <v>613</v>
      </c>
      <c r="H72" s="38" t="s">
        <v>614</v>
      </c>
      <c r="I72" s="37" t="s">
        <v>102</v>
      </c>
      <c r="J72" s="37" t="s">
        <v>111</v>
      </c>
      <c r="K72" s="37" t="s">
        <v>163</v>
      </c>
      <c r="L72" s="37" t="s">
        <v>164</v>
      </c>
      <c r="M72" s="39">
        <v>46248</v>
      </c>
      <c r="N72" s="37" t="s">
        <v>132</v>
      </c>
      <c r="O72" s="37" t="s">
        <v>172</v>
      </c>
      <c r="P72" s="37" t="s">
        <v>615</v>
      </c>
    </row>
    <row r="73" spans="1:16" ht="47.25">
      <c r="A73" s="36" t="s">
        <v>616</v>
      </c>
      <c r="B73" s="37" t="s">
        <v>580</v>
      </c>
      <c r="C73" s="37" t="s">
        <v>617</v>
      </c>
      <c r="D73" s="37" t="s">
        <v>618</v>
      </c>
      <c r="E73" s="37" t="s">
        <v>176</v>
      </c>
      <c r="F73" s="37" t="s">
        <v>192</v>
      </c>
      <c r="G73" s="37" t="s">
        <v>619</v>
      </c>
      <c r="H73" s="38" t="s">
        <v>620</v>
      </c>
      <c r="I73" s="37" t="s">
        <v>102</v>
      </c>
      <c r="J73" s="37" t="s">
        <v>111</v>
      </c>
      <c r="K73" s="37" t="s">
        <v>163</v>
      </c>
      <c r="L73" s="37" t="s">
        <v>164</v>
      </c>
      <c r="M73" s="39">
        <v>46248</v>
      </c>
      <c r="N73" s="37" t="s">
        <v>132</v>
      </c>
      <c r="O73" s="37" t="s">
        <v>172</v>
      </c>
      <c r="P73" s="37" t="s">
        <v>621</v>
      </c>
    </row>
    <row r="74" spans="1:16" ht="30" customHeight="1">
      <c r="A74" s="34"/>
      <c r="B74" s="34"/>
      <c r="C74" s="34"/>
      <c r="D74" s="34"/>
      <c r="E74" s="34"/>
      <c r="F74" s="34"/>
      <c r="G74" s="34"/>
      <c r="H74" s="34"/>
      <c r="I74" s="34"/>
      <c r="J74" s="34"/>
      <c r="K74" s="34"/>
      <c r="L74" s="34"/>
      <c r="M74" s="35"/>
      <c r="N74" s="34"/>
      <c r="O74" s="34"/>
      <c r="P74" s="34"/>
    </row>
    <row r="75" spans="1:16" ht="30" customHeight="1">
      <c r="A75" s="34"/>
      <c r="B75" s="34"/>
      <c r="C75" s="34"/>
      <c r="D75" s="34"/>
      <c r="E75" s="34"/>
      <c r="F75" s="34"/>
      <c r="G75" s="34"/>
      <c r="H75" s="34"/>
      <c r="I75" s="34"/>
      <c r="J75" s="34"/>
      <c r="K75" s="34"/>
      <c r="L75" s="34"/>
      <c r="M75" s="35"/>
      <c r="N75" s="34"/>
      <c r="O75" s="34"/>
      <c r="P75" s="34"/>
    </row>
    <row r="76" spans="1:16" ht="30" customHeight="1">
      <c r="A76" s="34"/>
      <c r="B76" s="34"/>
      <c r="C76" s="34"/>
      <c r="D76" s="34"/>
      <c r="E76" s="34"/>
      <c r="F76" s="34"/>
      <c r="G76" s="34"/>
      <c r="H76" s="34"/>
      <c r="I76" s="34"/>
      <c r="J76" s="34"/>
      <c r="K76" s="34"/>
      <c r="L76" s="34"/>
      <c r="M76" s="35"/>
      <c r="N76" s="34"/>
      <c r="O76" s="34"/>
      <c r="P76" s="34"/>
    </row>
    <row r="77" spans="1:16" ht="30" customHeight="1">
      <c r="A77" s="34"/>
      <c r="B77" s="34"/>
      <c r="C77" s="34"/>
      <c r="D77" s="34"/>
      <c r="E77" s="34"/>
      <c r="F77" s="34"/>
      <c r="G77" s="34"/>
      <c r="H77" s="34"/>
      <c r="I77" s="34"/>
      <c r="J77" s="34"/>
      <c r="K77" s="34"/>
      <c r="L77" s="34"/>
      <c r="M77" s="35"/>
      <c r="N77" s="34"/>
      <c r="O77" s="34"/>
      <c r="P77" s="34"/>
    </row>
    <row r="78" spans="1:16" ht="30" customHeight="1">
      <c r="A78" s="34"/>
      <c r="B78" s="34"/>
      <c r="C78" s="34"/>
      <c r="D78" s="34"/>
      <c r="E78" s="34"/>
      <c r="F78" s="34"/>
      <c r="G78" s="34"/>
      <c r="H78" s="34"/>
      <c r="I78" s="34"/>
      <c r="J78" s="34"/>
      <c r="K78" s="34"/>
      <c r="L78" s="34"/>
      <c r="M78" s="35"/>
      <c r="N78" s="34"/>
      <c r="O78" s="34"/>
      <c r="P78" s="34"/>
    </row>
    <row r="79" spans="1:16" ht="30" customHeight="1">
      <c r="A79" s="34"/>
      <c r="B79" s="34"/>
      <c r="C79" s="34"/>
      <c r="D79" s="34"/>
      <c r="E79" s="34"/>
      <c r="F79" s="34"/>
      <c r="G79" s="34"/>
      <c r="H79" s="34"/>
      <c r="I79" s="34"/>
      <c r="J79" s="34"/>
      <c r="K79" s="34"/>
      <c r="L79" s="34"/>
      <c r="M79" s="35"/>
      <c r="N79" s="34"/>
      <c r="O79" s="34"/>
      <c r="P79" s="34"/>
    </row>
    <row r="80" spans="1:16" ht="30" customHeight="1">
      <c r="A80" s="34"/>
      <c r="B80" s="34"/>
      <c r="C80" s="34"/>
      <c r="D80" s="34"/>
      <c r="E80" s="34"/>
      <c r="F80" s="34"/>
      <c r="G80" s="34"/>
      <c r="H80" s="34"/>
      <c r="I80" s="34"/>
      <c r="J80" s="34"/>
      <c r="K80" s="34"/>
      <c r="L80" s="34"/>
      <c r="M80" s="35"/>
      <c r="N80" s="34"/>
      <c r="O80" s="34"/>
      <c r="P80" s="34"/>
    </row>
    <row r="81" spans="1:16" ht="30" customHeight="1">
      <c r="A81" s="34"/>
      <c r="B81" s="34"/>
      <c r="C81" s="34"/>
      <c r="D81" s="34"/>
      <c r="E81" s="34"/>
      <c r="F81" s="34"/>
      <c r="G81" s="34"/>
      <c r="H81" s="34"/>
      <c r="I81" s="34"/>
      <c r="J81" s="34"/>
      <c r="K81" s="34"/>
      <c r="L81" s="34"/>
      <c r="M81" s="35"/>
      <c r="N81" s="34"/>
      <c r="O81" s="34"/>
      <c r="P81" s="34"/>
    </row>
    <row r="82" spans="1:16" ht="30" customHeight="1">
      <c r="A82" s="34"/>
      <c r="B82" s="34"/>
      <c r="C82" s="34"/>
      <c r="D82" s="34"/>
      <c r="E82" s="34"/>
      <c r="F82" s="34"/>
      <c r="G82" s="34"/>
      <c r="H82" s="34"/>
      <c r="I82" s="34"/>
      <c r="J82" s="34"/>
      <c r="K82" s="34"/>
      <c r="L82" s="34"/>
      <c r="M82" s="35"/>
      <c r="N82" s="34"/>
      <c r="O82" s="34"/>
      <c r="P82" s="34"/>
    </row>
    <row r="83" spans="1:16" ht="30" customHeight="1">
      <c r="A83" s="34"/>
      <c r="B83" s="34"/>
      <c r="C83" s="34"/>
      <c r="D83" s="34"/>
      <c r="E83" s="34"/>
      <c r="F83" s="34"/>
      <c r="G83" s="34"/>
      <c r="H83" s="34"/>
      <c r="I83" s="34"/>
      <c r="J83" s="34"/>
      <c r="K83" s="34"/>
      <c r="L83" s="34"/>
      <c r="M83" s="35"/>
      <c r="N83" s="34"/>
      <c r="O83" s="34"/>
      <c r="P83" s="34"/>
    </row>
    <row r="84" spans="1:16" ht="30" customHeight="1">
      <c r="A84" s="34"/>
      <c r="B84" s="34"/>
      <c r="C84" s="34"/>
      <c r="D84" s="34"/>
      <c r="E84" s="34"/>
      <c r="F84" s="34"/>
      <c r="G84" s="34"/>
      <c r="H84" s="34"/>
      <c r="I84" s="34"/>
      <c r="J84" s="34"/>
      <c r="K84" s="34"/>
      <c r="L84" s="34"/>
      <c r="M84" s="35"/>
      <c r="N84" s="34"/>
      <c r="O84" s="34"/>
      <c r="P84" s="34"/>
    </row>
    <row r="85" spans="1:16" ht="30" customHeight="1">
      <c r="A85" s="34"/>
      <c r="B85" s="34"/>
      <c r="C85" s="34"/>
      <c r="D85" s="34"/>
      <c r="E85" s="34"/>
      <c r="F85" s="34"/>
      <c r="G85" s="34"/>
      <c r="H85" s="34"/>
      <c r="I85" s="34"/>
      <c r="J85" s="34"/>
      <c r="K85" s="34"/>
      <c r="L85" s="34"/>
      <c r="M85" s="35"/>
      <c r="N85" s="34"/>
      <c r="O85" s="34"/>
      <c r="P85" s="34"/>
    </row>
    <row r="86" spans="1:16" ht="30" customHeight="1">
      <c r="A86" s="34"/>
      <c r="B86" s="34"/>
      <c r="C86" s="34"/>
      <c r="D86" s="34"/>
      <c r="E86" s="34"/>
      <c r="F86" s="34"/>
      <c r="G86" s="34"/>
      <c r="H86" s="34"/>
      <c r="I86" s="34"/>
      <c r="J86" s="34"/>
      <c r="K86" s="34"/>
      <c r="L86" s="34"/>
      <c r="M86" s="35"/>
      <c r="N86" s="34"/>
      <c r="O86" s="34"/>
      <c r="P86" s="34"/>
    </row>
    <row r="87" spans="1:16" ht="30" customHeight="1">
      <c r="A87" s="34"/>
      <c r="B87" s="34"/>
      <c r="C87" s="34"/>
      <c r="D87" s="34"/>
      <c r="E87" s="34"/>
      <c r="F87" s="34"/>
      <c r="G87" s="34"/>
      <c r="H87" s="34"/>
      <c r="I87" s="34"/>
      <c r="J87" s="34"/>
      <c r="K87" s="34"/>
      <c r="L87" s="34"/>
      <c r="M87" s="35"/>
      <c r="N87" s="34"/>
      <c r="O87" s="34"/>
      <c r="P87" s="34"/>
    </row>
    <row r="88" spans="1:16" ht="30" customHeight="1">
      <c r="A88" s="34"/>
      <c r="B88" s="34"/>
      <c r="C88" s="34"/>
      <c r="D88" s="34"/>
      <c r="E88" s="34"/>
      <c r="F88" s="34"/>
      <c r="G88" s="34"/>
      <c r="H88" s="34"/>
      <c r="I88" s="34"/>
      <c r="J88" s="34"/>
      <c r="K88" s="34"/>
      <c r="L88" s="34"/>
      <c r="M88" s="35"/>
      <c r="N88" s="34"/>
      <c r="O88" s="34"/>
      <c r="P88" s="34"/>
    </row>
    <row r="89" spans="1:16" ht="30" customHeight="1">
      <c r="A89" s="34"/>
      <c r="B89" s="34"/>
      <c r="C89" s="34"/>
      <c r="D89" s="34"/>
      <c r="E89" s="34"/>
      <c r="F89" s="34"/>
      <c r="G89" s="34"/>
      <c r="H89" s="34"/>
      <c r="I89" s="34"/>
      <c r="J89" s="34"/>
      <c r="K89" s="34"/>
      <c r="L89" s="34"/>
      <c r="M89" s="35"/>
      <c r="N89" s="34"/>
      <c r="O89" s="34"/>
      <c r="P89" s="34"/>
    </row>
    <row r="90" spans="1:16" ht="30" customHeight="1">
      <c r="A90" s="34"/>
      <c r="B90" s="34"/>
      <c r="C90" s="34"/>
      <c r="D90" s="34"/>
      <c r="E90" s="34"/>
      <c r="F90" s="34"/>
      <c r="G90" s="34"/>
      <c r="H90" s="34"/>
      <c r="I90" s="34"/>
      <c r="J90" s="34"/>
      <c r="K90" s="34"/>
      <c r="L90" s="34"/>
      <c r="M90" s="35"/>
      <c r="N90" s="34"/>
      <c r="O90" s="34"/>
      <c r="P90" s="34"/>
    </row>
    <row r="91" spans="1:16" ht="30" customHeight="1">
      <c r="A91" s="34"/>
      <c r="B91" s="34"/>
      <c r="C91" s="34"/>
      <c r="D91" s="34"/>
      <c r="E91" s="34"/>
      <c r="F91" s="34"/>
      <c r="G91" s="34"/>
      <c r="H91" s="34"/>
      <c r="I91" s="34"/>
      <c r="J91" s="34"/>
      <c r="K91" s="34"/>
      <c r="L91" s="34"/>
      <c r="M91" s="35"/>
      <c r="N91" s="34"/>
      <c r="O91" s="34"/>
      <c r="P91" s="34"/>
    </row>
    <row r="92" spans="1:16" ht="30" customHeight="1">
      <c r="A92" s="34"/>
      <c r="B92" s="34"/>
      <c r="C92" s="34"/>
      <c r="D92" s="34"/>
      <c r="E92" s="34"/>
      <c r="F92" s="34"/>
      <c r="G92" s="34"/>
      <c r="H92" s="34"/>
      <c r="I92" s="34"/>
      <c r="J92" s="34"/>
      <c r="K92" s="34"/>
      <c r="L92" s="34"/>
      <c r="M92" s="35"/>
      <c r="N92" s="34"/>
      <c r="O92" s="34"/>
      <c r="P92" s="34"/>
    </row>
    <row r="93" spans="1:16" ht="30" customHeight="1">
      <c r="A93" s="34"/>
      <c r="B93" s="34"/>
      <c r="C93" s="34"/>
      <c r="D93" s="34"/>
      <c r="E93" s="34"/>
      <c r="F93" s="34"/>
      <c r="G93" s="34"/>
      <c r="H93" s="34"/>
      <c r="I93" s="34"/>
      <c r="J93" s="34"/>
      <c r="K93" s="34"/>
      <c r="L93" s="34"/>
      <c r="M93" s="35"/>
      <c r="N93" s="34"/>
      <c r="O93" s="34"/>
      <c r="P93" s="34"/>
    </row>
    <row r="94" spans="1:16" ht="30" customHeight="1">
      <c r="A94" s="34"/>
      <c r="B94" s="34"/>
      <c r="C94" s="34"/>
      <c r="D94" s="34"/>
      <c r="E94" s="34"/>
      <c r="F94" s="34"/>
      <c r="G94" s="34"/>
      <c r="H94" s="34"/>
      <c r="I94" s="34"/>
      <c r="J94" s="34"/>
      <c r="K94" s="34"/>
      <c r="L94" s="34"/>
      <c r="M94" s="35"/>
      <c r="N94" s="34"/>
      <c r="O94" s="34"/>
      <c r="P94" s="34"/>
    </row>
    <row r="95" spans="1:16" ht="30" customHeight="1">
      <c r="A95" s="34"/>
      <c r="B95" s="34"/>
      <c r="C95" s="34"/>
      <c r="D95" s="34"/>
      <c r="E95" s="34"/>
      <c r="F95" s="34"/>
      <c r="G95" s="34"/>
      <c r="H95" s="34"/>
      <c r="I95" s="34"/>
      <c r="J95" s="34"/>
      <c r="K95" s="34"/>
      <c r="L95" s="34"/>
      <c r="M95" s="35"/>
      <c r="N95" s="34"/>
      <c r="O95" s="34"/>
      <c r="P95" s="34"/>
    </row>
    <row r="96" spans="1:16" ht="30" customHeight="1">
      <c r="A96" s="34"/>
      <c r="B96" s="34"/>
      <c r="C96" s="34"/>
      <c r="D96" s="34"/>
      <c r="E96" s="34"/>
      <c r="F96" s="34"/>
      <c r="G96" s="34"/>
      <c r="H96" s="34"/>
      <c r="I96" s="34"/>
      <c r="J96" s="34"/>
      <c r="K96" s="34"/>
      <c r="L96" s="34"/>
      <c r="M96" s="35"/>
      <c r="N96" s="34"/>
      <c r="O96" s="34"/>
      <c r="P96" s="34"/>
    </row>
    <row r="97" spans="1:16" ht="30" customHeight="1">
      <c r="A97" s="34"/>
      <c r="B97" s="34"/>
      <c r="C97" s="34"/>
      <c r="D97" s="34"/>
      <c r="E97" s="34"/>
      <c r="F97" s="34"/>
      <c r="G97" s="34"/>
      <c r="H97" s="34"/>
      <c r="I97" s="34"/>
      <c r="J97" s="34"/>
      <c r="K97" s="34"/>
      <c r="L97" s="34"/>
      <c r="M97" s="35"/>
      <c r="N97" s="34"/>
      <c r="O97" s="34"/>
      <c r="P97" s="34"/>
    </row>
    <row r="98" spans="1:16" ht="30" customHeight="1">
      <c r="A98" s="34"/>
      <c r="B98" s="34"/>
      <c r="C98" s="34"/>
      <c r="D98" s="34"/>
      <c r="E98" s="34"/>
      <c r="F98" s="34"/>
      <c r="G98" s="34"/>
      <c r="H98" s="34"/>
      <c r="I98" s="34"/>
      <c r="J98" s="34"/>
      <c r="K98" s="34"/>
      <c r="L98" s="34"/>
      <c r="M98" s="35"/>
      <c r="N98" s="34"/>
      <c r="O98" s="34"/>
      <c r="P98" s="34"/>
    </row>
    <row r="99" spans="1:16" ht="30" customHeight="1">
      <c r="A99" s="34"/>
      <c r="B99" s="34"/>
      <c r="C99" s="34"/>
      <c r="D99" s="34"/>
      <c r="E99" s="34"/>
      <c r="F99" s="34"/>
      <c r="G99" s="34"/>
      <c r="H99" s="34"/>
      <c r="I99" s="34"/>
      <c r="J99" s="34"/>
      <c r="K99" s="34"/>
      <c r="L99" s="34"/>
      <c r="M99" s="35"/>
      <c r="N99" s="34"/>
      <c r="O99" s="34"/>
      <c r="P99" s="34"/>
    </row>
    <row r="100" spans="1:16" ht="30" customHeight="1">
      <c r="A100" s="34"/>
      <c r="B100" s="34"/>
      <c r="C100" s="34"/>
      <c r="D100" s="34"/>
      <c r="E100" s="34"/>
      <c r="F100" s="34"/>
      <c r="G100" s="34"/>
      <c r="H100" s="34"/>
      <c r="I100" s="34"/>
      <c r="J100" s="34"/>
      <c r="K100" s="34"/>
      <c r="L100" s="34"/>
      <c r="M100" s="35"/>
      <c r="N100" s="34"/>
      <c r="O100" s="34"/>
      <c r="P100" s="34"/>
    </row>
    <row r="101" spans="1:16" ht="30" customHeight="1">
      <c r="A101" s="34"/>
      <c r="B101" s="34"/>
      <c r="C101" s="34"/>
      <c r="D101" s="34"/>
      <c r="E101" s="34"/>
      <c r="F101" s="34"/>
      <c r="G101" s="34"/>
      <c r="H101" s="34"/>
      <c r="I101" s="34"/>
      <c r="J101" s="34"/>
      <c r="K101" s="34"/>
      <c r="L101" s="34"/>
      <c r="M101" s="35"/>
      <c r="N101" s="34"/>
      <c r="O101" s="34"/>
      <c r="P101" s="34"/>
    </row>
    <row r="102" spans="1:16" ht="30" customHeight="1">
      <c r="A102" s="34"/>
      <c r="B102" s="34"/>
      <c r="C102" s="34"/>
      <c r="D102" s="34"/>
      <c r="E102" s="34"/>
      <c r="F102" s="34"/>
      <c r="G102" s="34"/>
      <c r="H102" s="34"/>
      <c r="I102" s="34"/>
      <c r="J102" s="34"/>
      <c r="K102" s="34"/>
      <c r="L102" s="34"/>
      <c r="M102" s="35"/>
      <c r="N102" s="34"/>
      <c r="O102" s="34"/>
      <c r="P102" s="34"/>
    </row>
    <row r="103" spans="1:16" ht="30" customHeight="1">
      <c r="A103" s="34"/>
      <c r="B103" s="34"/>
      <c r="C103" s="34"/>
      <c r="D103" s="34"/>
      <c r="E103" s="34"/>
      <c r="F103" s="34"/>
      <c r="G103" s="34"/>
      <c r="H103" s="34"/>
      <c r="I103" s="34"/>
      <c r="J103" s="34"/>
      <c r="K103" s="34"/>
      <c r="L103" s="34"/>
      <c r="M103" s="35"/>
      <c r="N103" s="34"/>
      <c r="O103" s="34"/>
      <c r="P103" s="34"/>
    </row>
    <row r="104" spans="1:16" ht="30" customHeight="1">
      <c r="A104" s="34"/>
      <c r="B104" s="34"/>
      <c r="C104" s="34"/>
      <c r="D104" s="34"/>
      <c r="E104" s="34"/>
      <c r="F104" s="34"/>
      <c r="G104" s="34"/>
      <c r="H104" s="34"/>
      <c r="I104" s="34"/>
      <c r="J104" s="34"/>
      <c r="K104" s="34"/>
      <c r="L104" s="34"/>
      <c r="M104" s="35"/>
      <c r="N104" s="34"/>
      <c r="O104" s="34"/>
      <c r="P104" s="34"/>
    </row>
    <row r="105" spans="1:16" ht="30" customHeight="1">
      <c r="A105" s="34"/>
      <c r="B105" s="34"/>
      <c r="C105" s="34"/>
      <c r="D105" s="34"/>
      <c r="E105" s="34"/>
      <c r="F105" s="34"/>
      <c r="G105" s="34"/>
      <c r="H105" s="34"/>
      <c r="I105" s="34"/>
      <c r="J105" s="34"/>
      <c r="K105" s="34"/>
      <c r="L105" s="34"/>
      <c r="M105" s="35"/>
      <c r="N105" s="34"/>
      <c r="O105" s="34"/>
      <c r="P105" s="34"/>
    </row>
    <row r="106" spans="1:16" ht="30" customHeight="1">
      <c r="A106" s="34"/>
      <c r="B106" s="34"/>
      <c r="C106" s="34"/>
      <c r="D106" s="34"/>
      <c r="E106" s="34"/>
      <c r="F106" s="34"/>
      <c r="G106" s="34"/>
      <c r="H106" s="34"/>
      <c r="I106" s="34"/>
      <c r="J106" s="34"/>
      <c r="K106" s="34"/>
      <c r="L106" s="34"/>
      <c r="M106" s="35"/>
      <c r="N106" s="34"/>
      <c r="O106" s="34"/>
      <c r="P106" s="34"/>
    </row>
    <row r="107" spans="1:16" ht="30" customHeight="1">
      <c r="A107" s="34"/>
      <c r="B107" s="34"/>
      <c r="C107" s="34"/>
      <c r="D107" s="34"/>
      <c r="E107" s="34"/>
      <c r="F107" s="34"/>
      <c r="G107" s="34"/>
      <c r="H107" s="34"/>
      <c r="I107" s="34"/>
      <c r="J107" s="34"/>
      <c r="K107" s="34"/>
      <c r="L107" s="34"/>
      <c r="M107" s="35"/>
      <c r="N107" s="34"/>
      <c r="O107" s="34"/>
      <c r="P107" s="34"/>
    </row>
    <row r="108" spans="1:16" ht="30" customHeight="1">
      <c r="A108" s="34"/>
      <c r="B108" s="34"/>
      <c r="C108" s="34"/>
      <c r="D108" s="34"/>
      <c r="E108" s="34"/>
      <c r="F108" s="34"/>
      <c r="G108" s="34"/>
      <c r="H108" s="34"/>
      <c r="I108" s="34"/>
      <c r="J108" s="34"/>
      <c r="K108" s="34"/>
      <c r="L108" s="34"/>
      <c r="M108" s="35"/>
      <c r="N108" s="34"/>
      <c r="O108" s="34"/>
      <c r="P108" s="34"/>
    </row>
    <row r="109" spans="1:16" ht="30" customHeight="1">
      <c r="A109" s="34"/>
      <c r="B109" s="34"/>
      <c r="C109" s="34"/>
      <c r="D109" s="34"/>
      <c r="E109" s="34"/>
      <c r="F109" s="34"/>
      <c r="G109" s="34"/>
      <c r="H109" s="34"/>
      <c r="I109" s="34"/>
      <c r="J109" s="34"/>
      <c r="K109" s="34"/>
      <c r="L109" s="34"/>
      <c r="M109" s="35"/>
      <c r="N109" s="34"/>
      <c r="O109" s="34"/>
      <c r="P109" s="34"/>
    </row>
    <row r="110" spans="1:16" ht="30" customHeight="1">
      <c r="A110" s="34"/>
      <c r="B110" s="34"/>
      <c r="C110" s="34"/>
      <c r="D110" s="34"/>
      <c r="E110" s="34"/>
      <c r="F110" s="34"/>
      <c r="G110" s="34"/>
      <c r="H110" s="34"/>
      <c r="I110" s="34"/>
      <c r="J110" s="34"/>
      <c r="K110" s="34"/>
      <c r="L110" s="34"/>
      <c r="M110" s="35"/>
      <c r="N110" s="34"/>
      <c r="O110" s="34"/>
      <c r="P110" s="34"/>
    </row>
    <row r="111" spans="1:16" ht="30" customHeight="1">
      <c r="A111" s="34"/>
      <c r="B111" s="34"/>
      <c r="C111" s="34"/>
      <c r="D111" s="34"/>
      <c r="E111" s="34"/>
      <c r="F111" s="34"/>
      <c r="G111" s="34"/>
      <c r="H111" s="34"/>
      <c r="I111" s="34"/>
      <c r="J111" s="34"/>
      <c r="K111" s="34"/>
      <c r="L111" s="34"/>
      <c r="M111" s="35"/>
      <c r="N111" s="34"/>
      <c r="O111" s="34"/>
      <c r="P111" s="34"/>
    </row>
    <row r="112" spans="1:16" ht="30" customHeight="1">
      <c r="A112" s="34"/>
      <c r="B112" s="34"/>
      <c r="C112" s="34"/>
      <c r="D112" s="34"/>
      <c r="E112" s="34"/>
      <c r="F112" s="34"/>
      <c r="G112" s="34"/>
      <c r="H112" s="34"/>
      <c r="I112" s="34"/>
      <c r="J112" s="34"/>
      <c r="K112" s="34"/>
      <c r="L112" s="34"/>
      <c r="M112" s="35"/>
      <c r="N112" s="34"/>
      <c r="O112" s="34"/>
      <c r="P112" s="34"/>
    </row>
    <row r="113" spans="1:16" ht="30" customHeight="1">
      <c r="A113" s="34"/>
      <c r="B113" s="34"/>
      <c r="C113" s="34"/>
      <c r="D113" s="34"/>
      <c r="E113" s="34"/>
      <c r="F113" s="34"/>
      <c r="G113" s="34"/>
      <c r="H113" s="34"/>
      <c r="I113" s="34"/>
      <c r="J113" s="34"/>
      <c r="K113" s="34"/>
      <c r="L113" s="34"/>
      <c r="M113" s="35"/>
      <c r="N113" s="34"/>
      <c r="O113" s="34"/>
      <c r="P113" s="34"/>
    </row>
    <row r="114" spans="1:16" ht="30" customHeight="1">
      <c r="A114" s="34"/>
      <c r="B114" s="34"/>
      <c r="C114" s="34"/>
      <c r="D114" s="34"/>
      <c r="E114" s="34"/>
      <c r="F114" s="34"/>
      <c r="G114" s="34"/>
      <c r="H114" s="34"/>
      <c r="I114" s="34"/>
      <c r="J114" s="34"/>
      <c r="K114" s="34"/>
      <c r="L114" s="34"/>
      <c r="M114" s="35"/>
      <c r="N114" s="34"/>
      <c r="O114" s="34"/>
      <c r="P114" s="34"/>
    </row>
    <row r="115" spans="1:16" ht="30" customHeight="1">
      <c r="A115" s="34"/>
      <c r="B115" s="34"/>
      <c r="C115" s="34"/>
      <c r="D115" s="34"/>
      <c r="E115" s="34"/>
      <c r="F115" s="34"/>
      <c r="G115" s="34"/>
      <c r="H115" s="34"/>
      <c r="I115" s="34"/>
      <c r="J115" s="34"/>
      <c r="K115" s="34"/>
      <c r="L115" s="34"/>
      <c r="M115" s="35"/>
      <c r="N115" s="34"/>
      <c r="O115" s="34"/>
      <c r="P115" s="34"/>
    </row>
    <row r="116" spans="1:16" ht="30" customHeight="1">
      <c r="A116" s="34"/>
      <c r="B116" s="34"/>
      <c r="C116" s="34"/>
      <c r="D116" s="34"/>
      <c r="E116" s="34"/>
      <c r="F116" s="34"/>
      <c r="G116" s="34"/>
      <c r="H116" s="34"/>
      <c r="I116" s="34"/>
      <c r="J116" s="34"/>
      <c r="K116" s="34"/>
      <c r="L116" s="34"/>
      <c r="M116" s="35"/>
      <c r="N116" s="34"/>
      <c r="O116" s="34"/>
      <c r="P116" s="34"/>
    </row>
    <row r="117" spans="1:16" ht="30" customHeight="1">
      <c r="A117" s="34"/>
      <c r="B117" s="34"/>
      <c r="C117" s="34"/>
      <c r="D117" s="34"/>
      <c r="E117" s="34"/>
      <c r="F117" s="34"/>
      <c r="G117" s="34"/>
      <c r="H117" s="34"/>
      <c r="I117" s="34"/>
      <c r="J117" s="34"/>
      <c r="K117" s="34"/>
      <c r="L117" s="34"/>
      <c r="M117" s="35"/>
      <c r="N117" s="34"/>
      <c r="O117" s="34"/>
      <c r="P117" s="34"/>
    </row>
    <row r="118" spans="1:16" ht="30" customHeight="1">
      <c r="A118" s="34"/>
      <c r="B118" s="34"/>
      <c r="C118" s="34"/>
      <c r="D118" s="34"/>
      <c r="E118" s="34"/>
      <c r="F118" s="34"/>
      <c r="G118" s="34"/>
      <c r="H118" s="34"/>
      <c r="I118" s="34"/>
      <c r="J118" s="34"/>
      <c r="K118" s="34"/>
      <c r="L118" s="34"/>
      <c r="M118" s="35"/>
      <c r="N118" s="34"/>
      <c r="O118" s="34"/>
      <c r="P118" s="34"/>
    </row>
    <row r="119" spans="1:16" ht="30" customHeight="1">
      <c r="A119" s="34"/>
      <c r="B119" s="34"/>
      <c r="C119" s="34"/>
      <c r="D119" s="34"/>
      <c r="E119" s="34"/>
      <c r="F119" s="34"/>
      <c r="G119" s="34"/>
      <c r="H119" s="34"/>
      <c r="I119" s="34"/>
      <c r="J119" s="34"/>
      <c r="K119" s="34"/>
      <c r="L119" s="34"/>
      <c r="M119" s="35"/>
      <c r="N119" s="34"/>
      <c r="O119" s="34"/>
      <c r="P119" s="34"/>
    </row>
    <row r="120" spans="1:16" ht="30" customHeight="1">
      <c r="A120" s="34"/>
      <c r="B120" s="34"/>
      <c r="C120" s="34"/>
      <c r="D120" s="34"/>
      <c r="E120" s="34"/>
      <c r="F120" s="34"/>
      <c r="G120" s="34"/>
      <c r="H120" s="34"/>
      <c r="I120" s="34"/>
      <c r="J120" s="34"/>
      <c r="K120" s="34"/>
      <c r="L120" s="34"/>
      <c r="M120" s="35"/>
      <c r="N120" s="34"/>
      <c r="O120" s="34"/>
      <c r="P120" s="34"/>
    </row>
    <row r="121" spans="1:16" ht="30" customHeight="1">
      <c r="A121" s="34"/>
      <c r="B121" s="34"/>
      <c r="C121" s="34"/>
      <c r="D121" s="34"/>
      <c r="E121" s="34"/>
      <c r="F121" s="34"/>
      <c r="G121" s="34"/>
      <c r="H121" s="34"/>
      <c r="I121" s="34"/>
      <c r="J121" s="34"/>
      <c r="K121" s="34"/>
      <c r="L121" s="34"/>
      <c r="M121" s="35"/>
      <c r="N121" s="34"/>
      <c r="O121" s="34"/>
      <c r="P121" s="34"/>
    </row>
    <row r="122" spans="1:16" ht="30" customHeight="1">
      <c r="A122" s="34"/>
      <c r="B122" s="34"/>
      <c r="C122" s="34"/>
      <c r="D122" s="34"/>
      <c r="E122" s="34"/>
      <c r="F122" s="34"/>
      <c r="G122" s="34"/>
      <c r="H122" s="34"/>
      <c r="I122" s="34"/>
      <c r="J122" s="34"/>
      <c r="K122" s="34"/>
      <c r="L122" s="34"/>
      <c r="M122" s="35"/>
      <c r="N122" s="34"/>
      <c r="O122" s="34"/>
      <c r="P122" s="34"/>
    </row>
    <row r="123" spans="1:16" ht="30" customHeight="1">
      <c r="A123" s="34"/>
      <c r="B123" s="34"/>
      <c r="C123" s="34"/>
      <c r="D123" s="34"/>
      <c r="E123" s="34"/>
      <c r="F123" s="34"/>
      <c r="G123" s="34"/>
      <c r="H123" s="34"/>
      <c r="I123" s="34"/>
      <c r="J123" s="34"/>
      <c r="K123" s="34"/>
      <c r="L123" s="34"/>
      <c r="M123" s="35"/>
      <c r="N123" s="34"/>
      <c r="O123" s="34"/>
      <c r="P123" s="34"/>
    </row>
    <row r="124" spans="1:16" ht="30" customHeight="1">
      <c r="A124" s="34"/>
      <c r="B124" s="34"/>
      <c r="C124" s="34"/>
      <c r="D124" s="34"/>
      <c r="E124" s="34"/>
      <c r="F124" s="34"/>
      <c r="G124" s="34"/>
      <c r="H124" s="34"/>
      <c r="I124" s="34"/>
      <c r="J124" s="34"/>
      <c r="K124" s="34"/>
      <c r="L124" s="34"/>
      <c r="M124" s="35"/>
      <c r="N124" s="34"/>
      <c r="O124" s="34"/>
      <c r="P124" s="34"/>
    </row>
    <row r="125" spans="1:16" ht="30" customHeight="1">
      <c r="A125" s="34"/>
      <c r="B125" s="34"/>
      <c r="C125" s="34"/>
      <c r="D125" s="34"/>
      <c r="E125" s="34"/>
      <c r="F125" s="34"/>
      <c r="G125" s="34"/>
      <c r="H125" s="34"/>
      <c r="I125" s="34"/>
      <c r="J125" s="34"/>
      <c r="K125" s="34"/>
      <c r="L125" s="34"/>
      <c r="M125" s="35"/>
      <c r="N125" s="34"/>
      <c r="O125" s="34"/>
      <c r="P125" s="34"/>
    </row>
  </sheetData>
  <autoFilter ref="A3:P125" xr:uid="{00000000-0009-0000-0000-000003000000}"/>
  <mergeCells count="2">
    <mergeCell ref="A1:P1"/>
    <mergeCell ref="A2:P2"/>
  </mergeCells>
  <conditionalFormatting sqref="I74:I125">
    <cfRule type="cellIs" dxfId="48" priority="2" operator="equal">
      <formula>"Pass"</formula>
    </cfRule>
    <cfRule type="cellIs" dxfId="47" priority="3" operator="equal">
      <formula>"Fail"</formula>
    </cfRule>
    <cfRule type="cellIs" dxfId="46" priority="4" operator="equal">
      <formula>"Blocked"</formula>
    </cfRule>
    <cfRule type="cellIs" dxfId="45" priority="5" operator="equal">
      <formula>"In Progress"</formula>
    </cfRule>
    <cfRule type="cellIs" dxfId="44" priority="6" operator="equal">
      <formula>"Not Executed"</formula>
    </cfRule>
    <cfRule type="cellIs" dxfId="43" priority="7" operator="equal">
      <formula>"Retest"</formula>
    </cfRule>
  </conditionalFormatting>
  <conditionalFormatting sqref="J74:J125">
    <cfRule type="cellIs" dxfId="42" priority="8" operator="equal">
      <formula>"Critical"</formula>
    </cfRule>
  </conditionalFormatting>
  <dataValidations count="5">
    <dataValidation type="list" allowBlank="1" errorTitle="Invalid Status" error="Please choose a status from the dropdown list." sqref="I74:I125" xr:uid="{00000000-0002-0000-0300-000000000000}">
      <formula1>List_Status</formula1>
      <formula2>0</formula2>
    </dataValidation>
    <dataValidation type="list" allowBlank="1" sqref="J74:J125" xr:uid="{00000000-0002-0000-0300-000001000000}">
      <formula1>List_Severity</formula1>
      <formula2>0</formula2>
    </dataValidation>
    <dataValidation type="list" allowBlank="1" sqref="K74:K125" xr:uid="{00000000-0002-0000-0300-000002000000}">
      <formula1>List_Priority</formula1>
      <formula2>0</formula2>
    </dataValidation>
    <dataValidation type="list" allowBlank="1" sqref="L74:L125" xr:uid="{00000000-0002-0000-0300-000003000000}">
      <formula1>List_Testers</formula1>
      <formula2>0</formula2>
    </dataValidation>
    <dataValidation type="list" allowBlank="1" sqref="N74:N125" xr:uid="{00000000-0002-0000-0300-000004000000}">
      <formula1>List_Environment</formula1>
      <formula2>0</formula2>
    </dataValidation>
  </dataValidations>
  <hyperlinks>
    <hyperlink ref="A2" r:id="rId1" location="'Main%20Dashboard'!A1" xr:uid="{00000000-0004-0000-0300-000000000000}"/>
    <hyperlink ref="F5" r:id="rId2" xr:uid="{1208F1B5-AF29-415E-A15A-C59C174A7E6D}"/>
  </hyperlinks>
  <pageMargins left="0.75" right="0.75" top="1" bottom="1" header="0.511811023622047" footer="0.511811023622047"/>
  <pageSetup paperSize="9" orientation="portrait" horizontalDpi="300" verticalDpi="300"/>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5B6"/>
  </sheetPr>
  <dimension ref="A1:P300"/>
  <sheetViews>
    <sheetView showGridLines="0" zoomScaleNormal="100" workbookViewId="0">
      <pane ySplit="3" topLeftCell="A4" activePane="bottomLeft" state="frozen"/>
      <selection pane="bottomLeft" activeCell="P40" sqref="P40"/>
    </sheetView>
  </sheetViews>
  <sheetFormatPr defaultColWidth="8.7109375" defaultRowHeight="15"/>
  <cols>
    <col min="1" max="1" width="12" customWidth="1"/>
    <col min="2" max="2" width="20" customWidth="1"/>
    <col min="3" max="3" width="26" customWidth="1"/>
    <col min="4" max="4" width="34" customWidth="1"/>
    <col min="5" max="5" width="22" customWidth="1"/>
    <col min="6" max="6" width="20" customWidth="1"/>
    <col min="7" max="8" width="28" customWidth="1"/>
    <col min="9" max="9" width="14" customWidth="1"/>
    <col min="10" max="10" width="12" customWidth="1"/>
    <col min="11" max="12" width="14" customWidth="1"/>
    <col min="13" max="13" width="13" customWidth="1"/>
    <col min="14" max="14" width="12" customWidth="1"/>
    <col min="15" max="15" width="18" customWidth="1"/>
    <col min="16" max="16" width="26" customWidth="1"/>
  </cols>
  <sheetData>
    <row r="1" spans="1:16" ht="31.5" customHeight="1">
      <c r="A1" s="122" t="s">
        <v>622</v>
      </c>
      <c r="B1" s="122"/>
      <c r="C1" s="122"/>
      <c r="D1" s="122"/>
      <c r="E1" s="122"/>
      <c r="F1" s="122"/>
      <c r="G1" s="122"/>
      <c r="H1" s="122"/>
      <c r="I1" s="122"/>
      <c r="J1" s="122"/>
      <c r="K1" s="122"/>
      <c r="L1" s="122"/>
      <c r="M1" s="122"/>
      <c r="N1" s="122"/>
      <c r="O1" s="122"/>
      <c r="P1" s="122"/>
    </row>
    <row r="2" spans="1:16" ht="18" customHeight="1">
      <c r="A2" s="123" t="s">
        <v>32</v>
      </c>
      <c r="B2" s="123"/>
      <c r="C2" s="123"/>
      <c r="D2" s="123"/>
      <c r="E2" s="123"/>
      <c r="F2" s="123"/>
      <c r="G2" s="123"/>
      <c r="H2" s="123"/>
      <c r="I2" s="123"/>
      <c r="J2" s="123"/>
      <c r="K2" s="123"/>
      <c r="L2" s="123"/>
      <c r="M2" s="123"/>
      <c r="N2" s="123"/>
      <c r="O2" s="123"/>
      <c r="P2" s="123"/>
    </row>
    <row r="3" spans="1:16" ht="30" customHeight="1">
      <c r="A3" s="31" t="s">
        <v>50</v>
      </c>
      <c r="B3" s="31" t="s">
        <v>53</v>
      </c>
      <c r="C3" s="31" t="s">
        <v>56</v>
      </c>
      <c r="D3" s="31" t="s">
        <v>59</v>
      </c>
      <c r="E3" s="31" t="s">
        <v>62</v>
      </c>
      <c r="F3" s="31" t="s">
        <v>65</v>
      </c>
      <c r="G3" s="31" t="s">
        <v>68</v>
      </c>
      <c r="H3" s="31" t="s">
        <v>71</v>
      </c>
      <c r="I3" s="31" t="s">
        <v>74</v>
      </c>
      <c r="J3" s="31" t="s">
        <v>77</v>
      </c>
      <c r="K3" s="31" t="s">
        <v>80</v>
      </c>
      <c r="L3" s="31" t="s">
        <v>83</v>
      </c>
      <c r="M3" s="31" t="s">
        <v>86</v>
      </c>
      <c r="N3" s="31" t="s">
        <v>89</v>
      </c>
      <c r="O3" s="31" t="s">
        <v>92</v>
      </c>
      <c r="P3" s="31" t="s">
        <v>95</v>
      </c>
    </row>
    <row r="4" spans="1:16" ht="60" customHeight="1">
      <c r="A4" s="32" t="s">
        <v>121</v>
      </c>
      <c r="B4" s="33" t="s">
        <v>122</v>
      </c>
      <c r="C4" s="33" t="s">
        <v>123</v>
      </c>
      <c r="D4" s="33" t="s">
        <v>151</v>
      </c>
      <c r="E4" s="33" t="s">
        <v>125</v>
      </c>
      <c r="F4" s="33" t="s">
        <v>126</v>
      </c>
      <c r="G4" s="33" t="s">
        <v>152</v>
      </c>
      <c r="H4" s="33" t="s">
        <v>128</v>
      </c>
      <c r="I4" s="33" t="s">
        <v>102</v>
      </c>
      <c r="J4" s="33" t="s">
        <v>115</v>
      </c>
      <c r="K4" s="33" t="s">
        <v>129</v>
      </c>
      <c r="L4" s="33" t="s">
        <v>130</v>
      </c>
      <c r="M4" s="33" t="s">
        <v>131</v>
      </c>
      <c r="N4" s="33" t="s">
        <v>132</v>
      </c>
      <c r="O4" s="33" t="s">
        <v>153</v>
      </c>
      <c r="P4" s="33" t="s">
        <v>154</v>
      </c>
    </row>
    <row r="5" spans="1:16" ht="30" customHeight="1">
      <c r="A5" s="49" t="s">
        <v>623</v>
      </c>
      <c r="B5" s="45" t="s">
        <v>624</v>
      </c>
      <c r="C5" s="45" t="s">
        <v>625</v>
      </c>
      <c r="D5" s="45" t="s">
        <v>626</v>
      </c>
      <c r="E5" s="45" t="s">
        <v>627</v>
      </c>
      <c r="F5" s="52" t="s">
        <v>628</v>
      </c>
      <c r="G5" s="45" t="s">
        <v>629</v>
      </c>
      <c r="H5" s="47" t="s">
        <v>630</v>
      </c>
      <c r="I5" s="49" t="s">
        <v>102</v>
      </c>
      <c r="J5" s="49" t="s">
        <v>117</v>
      </c>
      <c r="K5" s="49" t="s">
        <v>147</v>
      </c>
      <c r="L5" s="45" t="s">
        <v>631</v>
      </c>
      <c r="M5" s="51">
        <v>46246</v>
      </c>
      <c r="N5" s="49" t="s">
        <v>132</v>
      </c>
      <c r="O5" s="49"/>
      <c r="P5" s="48"/>
    </row>
    <row r="6" spans="1:16" ht="30" customHeight="1">
      <c r="A6" s="43" t="s">
        <v>632</v>
      </c>
      <c r="B6" s="42" t="s">
        <v>624</v>
      </c>
      <c r="C6" s="42" t="s">
        <v>633</v>
      </c>
      <c r="D6" s="43" t="s">
        <v>634</v>
      </c>
      <c r="E6" s="42" t="s">
        <v>635</v>
      </c>
      <c r="F6" s="53" t="s">
        <v>636</v>
      </c>
      <c r="G6" s="42" t="s">
        <v>637</v>
      </c>
      <c r="H6" s="42" t="s">
        <v>638</v>
      </c>
      <c r="I6" s="42" t="s">
        <v>102</v>
      </c>
      <c r="J6" s="42" t="s">
        <v>117</v>
      </c>
      <c r="K6" s="42" t="s">
        <v>147</v>
      </c>
      <c r="L6" s="42" t="s">
        <v>631</v>
      </c>
      <c r="M6" s="50">
        <v>46246</v>
      </c>
      <c r="N6" s="42" t="s">
        <v>132</v>
      </c>
      <c r="O6" s="42"/>
      <c r="P6" s="42"/>
    </row>
    <row r="7" spans="1:16" ht="30" customHeight="1">
      <c r="A7" s="49" t="s">
        <v>639</v>
      </c>
      <c r="B7" s="49" t="s">
        <v>624</v>
      </c>
      <c r="C7" s="49" t="s">
        <v>640</v>
      </c>
      <c r="D7" s="49" t="s">
        <v>641</v>
      </c>
      <c r="E7" s="49" t="s">
        <v>635</v>
      </c>
      <c r="F7" s="52" t="s">
        <v>636</v>
      </c>
      <c r="G7" s="49" t="s">
        <v>642</v>
      </c>
      <c r="H7" s="49" t="s">
        <v>642</v>
      </c>
      <c r="I7" s="49" t="s">
        <v>102</v>
      </c>
      <c r="J7" s="49" t="s">
        <v>117</v>
      </c>
      <c r="K7" s="49" t="s">
        <v>147</v>
      </c>
      <c r="L7" s="49" t="s">
        <v>631</v>
      </c>
      <c r="M7" s="51">
        <v>46246</v>
      </c>
      <c r="N7" s="49" t="s">
        <v>132</v>
      </c>
      <c r="O7" s="49"/>
      <c r="P7" s="49"/>
    </row>
    <row r="8" spans="1:16" ht="30" customHeight="1">
      <c r="A8" s="42" t="s">
        <v>643</v>
      </c>
      <c r="B8" s="42" t="s">
        <v>644</v>
      </c>
      <c r="C8" s="42" t="s">
        <v>645</v>
      </c>
      <c r="D8" s="42" t="s">
        <v>646</v>
      </c>
      <c r="E8" s="42" t="s">
        <v>635</v>
      </c>
      <c r="F8" s="53" t="s">
        <v>647</v>
      </c>
      <c r="G8" s="42" t="s">
        <v>629</v>
      </c>
      <c r="H8" s="42" t="s">
        <v>630</v>
      </c>
      <c r="I8" s="42" t="s">
        <v>102</v>
      </c>
      <c r="J8" s="42" t="s">
        <v>117</v>
      </c>
      <c r="K8" s="42" t="s">
        <v>147</v>
      </c>
      <c r="L8" s="42" t="s">
        <v>631</v>
      </c>
      <c r="M8" s="50">
        <v>46248</v>
      </c>
      <c r="N8" s="42" t="s">
        <v>132</v>
      </c>
      <c r="O8" s="42"/>
      <c r="P8" s="34"/>
    </row>
    <row r="9" spans="1:16" ht="30" customHeight="1">
      <c r="A9" s="49" t="s">
        <v>648</v>
      </c>
      <c r="B9" s="49" t="s">
        <v>644</v>
      </c>
      <c r="C9" s="49" t="s">
        <v>633</v>
      </c>
      <c r="D9" s="49" t="s">
        <v>649</v>
      </c>
      <c r="E9" s="49" t="s">
        <v>635</v>
      </c>
      <c r="F9" s="46" t="s">
        <v>650</v>
      </c>
      <c r="G9" s="49" t="s">
        <v>637</v>
      </c>
      <c r="H9" s="49" t="s">
        <v>638</v>
      </c>
      <c r="I9" s="49" t="s">
        <v>102</v>
      </c>
      <c r="J9" s="49" t="s">
        <v>117</v>
      </c>
      <c r="K9" s="49" t="s">
        <v>147</v>
      </c>
      <c r="L9" s="49" t="s">
        <v>631</v>
      </c>
      <c r="M9" s="51">
        <v>46248</v>
      </c>
      <c r="N9" s="49" t="s">
        <v>132</v>
      </c>
      <c r="O9" s="49"/>
      <c r="P9" s="49"/>
    </row>
    <row r="10" spans="1:16" ht="30" customHeight="1">
      <c r="A10" s="42" t="s">
        <v>651</v>
      </c>
      <c r="B10" s="42" t="s">
        <v>644</v>
      </c>
      <c r="C10" s="42" t="s">
        <v>640</v>
      </c>
      <c r="D10" s="42" t="s">
        <v>652</v>
      </c>
      <c r="E10" s="42" t="s">
        <v>635</v>
      </c>
      <c r="F10" s="44" t="s">
        <v>650</v>
      </c>
      <c r="G10" s="42" t="s">
        <v>642</v>
      </c>
      <c r="H10" s="42" t="s">
        <v>642</v>
      </c>
      <c r="I10" s="42" t="s">
        <v>102</v>
      </c>
      <c r="J10" s="42" t="s">
        <v>117</v>
      </c>
      <c r="K10" s="42" t="s">
        <v>147</v>
      </c>
      <c r="L10" s="42" t="s">
        <v>631</v>
      </c>
      <c r="M10" s="50">
        <v>46248</v>
      </c>
      <c r="N10" s="42" t="s">
        <v>132</v>
      </c>
      <c r="O10" s="42"/>
      <c r="P10" s="42"/>
    </row>
    <row r="11" spans="1:16" ht="30" customHeight="1">
      <c r="A11" s="49" t="s">
        <v>653</v>
      </c>
      <c r="B11" s="49" t="s">
        <v>644</v>
      </c>
      <c r="C11" s="49" t="s">
        <v>654</v>
      </c>
      <c r="D11" s="49" t="s">
        <v>655</v>
      </c>
      <c r="E11" s="49" t="s">
        <v>635</v>
      </c>
      <c r="F11" s="46" t="s">
        <v>656</v>
      </c>
      <c r="G11" s="49" t="s">
        <v>657</v>
      </c>
      <c r="H11" s="49" t="s">
        <v>658</v>
      </c>
      <c r="I11" s="49" t="s">
        <v>102</v>
      </c>
      <c r="J11" s="49" t="s">
        <v>117</v>
      </c>
      <c r="K11" s="49" t="s">
        <v>147</v>
      </c>
      <c r="L11" s="49" t="s">
        <v>631</v>
      </c>
      <c r="M11" s="51">
        <v>46248</v>
      </c>
      <c r="N11" s="49" t="s">
        <v>132</v>
      </c>
      <c r="O11" s="49"/>
      <c r="P11" s="49"/>
    </row>
    <row r="12" spans="1:16" ht="30" customHeight="1">
      <c r="A12" s="42" t="s">
        <v>659</v>
      </c>
      <c r="B12" s="42" t="s">
        <v>644</v>
      </c>
      <c r="C12" s="42" t="s">
        <v>660</v>
      </c>
      <c r="D12" s="42" t="s">
        <v>661</v>
      </c>
      <c r="E12" s="42" t="s">
        <v>635</v>
      </c>
      <c r="F12" s="44" t="s">
        <v>662</v>
      </c>
      <c r="G12" s="42" t="s">
        <v>663</v>
      </c>
      <c r="H12" s="42" t="s">
        <v>664</v>
      </c>
      <c r="I12" s="42" t="s">
        <v>102</v>
      </c>
      <c r="J12" s="42" t="s">
        <v>117</v>
      </c>
      <c r="K12" s="42" t="s">
        <v>147</v>
      </c>
      <c r="L12" s="42" t="s">
        <v>631</v>
      </c>
      <c r="M12" s="50">
        <v>46248</v>
      </c>
      <c r="N12" s="42" t="s">
        <v>132</v>
      </c>
      <c r="O12" s="42"/>
      <c r="P12" s="42"/>
    </row>
    <row r="13" spans="1:16" ht="30" customHeight="1">
      <c r="A13" s="49" t="s">
        <v>665</v>
      </c>
      <c r="B13" s="49" t="s">
        <v>644</v>
      </c>
      <c r="C13" s="49" t="s">
        <v>666</v>
      </c>
      <c r="D13" s="49" t="s">
        <v>667</v>
      </c>
      <c r="E13" s="49" t="s">
        <v>635</v>
      </c>
      <c r="F13" s="46" t="s">
        <v>650</v>
      </c>
      <c r="G13" s="49" t="s">
        <v>666</v>
      </c>
      <c r="H13" s="49" t="s">
        <v>666</v>
      </c>
      <c r="I13" s="49" t="s">
        <v>102</v>
      </c>
      <c r="J13" s="49" t="s">
        <v>117</v>
      </c>
      <c r="K13" s="49" t="s">
        <v>147</v>
      </c>
      <c r="L13" s="49" t="s">
        <v>631</v>
      </c>
      <c r="M13" s="51">
        <v>46248</v>
      </c>
      <c r="N13" s="49" t="s">
        <v>132</v>
      </c>
      <c r="O13" s="49"/>
      <c r="P13" s="49"/>
    </row>
    <row r="14" spans="1:16" ht="30" customHeight="1">
      <c r="A14" s="42" t="s">
        <v>668</v>
      </c>
      <c r="B14" s="42" t="s">
        <v>644</v>
      </c>
      <c r="C14" s="42" t="s">
        <v>669</v>
      </c>
      <c r="D14" s="42" t="s">
        <v>670</v>
      </c>
      <c r="E14" s="42" t="s">
        <v>635</v>
      </c>
      <c r="F14" s="44" t="s">
        <v>671</v>
      </c>
      <c r="G14" s="42" t="s">
        <v>672</v>
      </c>
      <c r="H14" s="42" t="s">
        <v>673</v>
      </c>
      <c r="I14" s="42" t="s">
        <v>102</v>
      </c>
      <c r="J14" s="42" t="s">
        <v>117</v>
      </c>
      <c r="K14" s="42" t="s">
        <v>147</v>
      </c>
      <c r="L14" s="42" t="s">
        <v>631</v>
      </c>
      <c r="M14" s="50">
        <v>46248</v>
      </c>
      <c r="N14" s="42" t="s">
        <v>132</v>
      </c>
      <c r="O14" s="42"/>
      <c r="P14" s="42"/>
    </row>
    <row r="15" spans="1:16" ht="30" customHeight="1">
      <c r="A15" s="49" t="s">
        <v>674</v>
      </c>
      <c r="B15" s="49" t="s">
        <v>644</v>
      </c>
      <c r="C15" s="49" t="s">
        <v>675</v>
      </c>
      <c r="D15" s="49" t="s">
        <v>676</v>
      </c>
      <c r="E15" s="49" t="s">
        <v>635</v>
      </c>
      <c r="F15" s="46" t="s">
        <v>650</v>
      </c>
      <c r="G15" s="49" t="s">
        <v>677</v>
      </c>
      <c r="H15" s="49" t="s">
        <v>678</v>
      </c>
      <c r="I15" s="49" t="s">
        <v>104</v>
      </c>
      <c r="J15" s="49" t="s">
        <v>115</v>
      </c>
      <c r="K15" s="49" t="s">
        <v>145</v>
      </c>
      <c r="L15" s="49" t="s">
        <v>631</v>
      </c>
      <c r="M15" s="51">
        <v>46248</v>
      </c>
      <c r="N15" s="49" t="s">
        <v>132</v>
      </c>
      <c r="O15" s="49"/>
      <c r="P15" s="49"/>
    </row>
    <row r="16" spans="1:16" ht="30" customHeight="1">
      <c r="A16" s="42" t="s">
        <v>679</v>
      </c>
      <c r="B16" s="42" t="s">
        <v>680</v>
      </c>
      <c r="C16" s="42" t="s">
        <v>681</v>
      </c>
      <c r="D16" s="42" t="s">
        <v>682</v>
      </c>
      <c r="E16" s="42" t="s">
        <v>635</v>
      </c>
      <c r="F16" s="44" t="s">
        <v>683</v>
      </c>
      <c r="G16" s="42" t="s">
        <v>629</v>
      </c>
      <c r="H16" s="42" t="s">
        <v>629</v>
      </c>
      <c r="I16" s="42" t="s">
        <v>102</v>
      </c>
      <c r="J16" s="42" t="s">
        <v>117</v>
      </c>
      <c r="K16" s="42" t="s">
        <v>147</v>
      </c>
      <c r="L16" s="42" t="s">
        <v>631</v>
      </c>
      <c r="M16" s="50">
        <v>46248</v>
      </c>
      <c r="N16" s="42" t="s">
        <v>132</v>
      </c>
      <c r="O16" s="42"/>
      <c r="P16" s="42"/>
    </row>
    <row r="17" spans="1:16" ht="30" customHeight="1">
      <c r="A17" s="49" t="s">
        <v>684</v>
      </c>
      <c r="B17" s="49" t="s">
        <v>680</v>
      </c>
      <c r="C17" s="49" t="s">
        <v>685</v>
      </c>
      <c r="D17" s="49" t="s">
        <v>686</v>
      </c>
      <c r="E17" s="49" t="s">
        <v>635</v>
      </c>
      <c r="F17" s="46" t="s">
        <v>687</v>
      </c>
      <c r="G17" s="49" t="s">
        <v>688</v>
      </c>
      <c r="H17" s="49" t="s">
        <v>688</v>
      </c>
      <c r="I17" s="49" t="s">
        <v>102</v>
      </c>
      <c r="J17" s="49" t="s">
        <v>117</v>
      </c>
      <c r="K17" s="49" t="s">
        <v>147</v>
      </c>
      <c r="L17" s="49" t="s">
        <v>631</v>
      </c>
      <c r="M17" s="51">
        <v>46248</v>
      </c>
      <c r="N17" s="49" t="s">
        <v>132</v>
      </c>
      <c r="O17" s="49"/>
      <c r="P17" s="49"/>
    </row>
    <row r="18" spans="1:16" ht="30" customHeight="1">
      <c r="A18" s="42" t="s">
        <v>689</v>
      </c>
      <c r="B18" s="42" t="s">
        <v>680</v>
      </c>
      <c r="C18" s="42" t="s">
        <v>690</v>
      </c>
      <c r="D18" s="42" t="s">
        <v>691</v>
      </c>
      <c r="E18" s="42" t="s">
        <v>635</v>
      </c>
      <c r="F18" s="44" t="s">
        <v>692</v>
      </c>
      <c r="G18" s="42" t="s">
        <v>693</v>
      </c>
      <c r="H18" s="42" t="s">
        <v>693</v>
      </c>
      <c r="I18" s="42" t="s">
        <v>102</v>
      </c>
      <c r="J18" s="42" t="s">
        <v>117</v>
      </c>
      <c r="K18" s="42" t="s">
        <v>147</v>
      </c>
      <c r="L18" s="42" t="s">
        <v>631</v>
      </c>
      <c r="M18" s="50">
        <v>46248</v>
      </c>
      <c r="N18" s="42" t="s">
        <v>132</v>
      </c>
      <c r="O18" s="42"/>
      <c r="P18" s="42"/>
    </row>
    <row r="19" spans="1:16" ht="30" customHeight="1">
      <c r="A19" s="49" t="s">
        <v>694</v>
      </c>
      <c r="B19" s="49" t="s">
        <v>680</v>
      </c>
      <c r="C19" s="49" t="s">
        <v>695</v>
      </c>
      <c r="D19" s="49" t="s">
        <v>696</v>
      </c>
      <c r="E19" s="49" t="s">
        <v>635</v>
      </c>
      <c r="F19" s="46" t="s">
        <v>697</v>
      </c>
      <c r="G19" s="49" t="s">
        <v>698</v>
      </c>
      <c r="H19" s="49" t="s">
        <v>698</v>
      </c>
      <c r="I19" s="49" t="s">
        <v>102</v>
      </c>
      <c r="J19" s="49" t="s">
        <v>117</v>
      </c>
      <c r="K19" s="49" t="s">
        <v>147</v>
      </c>
      <c r="L19" s="49" t="s">
        <v>631</v>
      </c>
      <c r="M19" s="51">
        <v>46248</v>
      </c>
      <c r="N19" s="49" t="s">
        <v>132</v>
      </c>
      <c r="O19" s="49"/>
      <c r="P19" s="49"/>
    </row>
    <row r="20" spans="1:16" ht="30" customHeight="1">
      <c r="A20" s="42" t="s">
        <v>699</v>
      </c>
      <c r="B20" s="42" t="s">
        <v>680</v>
      </c>
      <c r="C20" s="42" t="s">
        <v>633</v>
      </c>
      <c r="D20" s="42" t="s">
        <v>700</v>
      </c>
      <c r="E20" s="42" t="s">
        <v>635</v>
      </c>
      <c r="F20" s="44" t="s">
        <v>701</v>
      </c>
      <c r="G20" s="42" t="s">
        <v>637</v>
      </c>
      <c r="H20" s="42" t="s">
        <v>638</v>
      </c>
      <c r="I20" s="42" t="s">
        <v>102</v>
      </c>
      <c r="J20" s="42" t="s">
        <v>117</v>
      </c>
      <c r="K20" s="42" t="s">
        <v>147</v>
      </c>
      <c r="L20" s="42" t="s">
        <v>631</v>
      </c>
      <c r="M20" s="50">
        <v>46248</v>
      </c>
      <c r="N20" s="42" t="s">
        <v>132</v>
      </c>
      <c r="O20" s="42"/>
      <c r="P20" s="42"/>
    </row>
    <row r="21" spans="1:16" ht="30" customHeight="1">
      <c r="A21" s="49" t="s">
        <v>702</v>
      </c>
      <c r="B21" s="49" t="s">
        <v>680</v>
      </c>
      <c r="C21" s="49" t="s">
        <v>640</v>
      </c>
      <c r="D21" s="49" t="s">
        <v>703</v>
      </c>
      <c r="E21" s="49" t="s">
        <v>635</v>
      </c>
      <c r="F21" s="46" t="s">
        <v>701</v>
      </c>
      <c r="G21" s="49" t="s">
        <v>642</v>
      </c>
      <c r="H21" s="49" t="s">
        <v>642</v>
      </c>
      <c r="I21" s="49" t="s">
        <v>102</v>
      </c>
      <c r="J21" s="49" t="s">
        <v>117</v>
      </c>
      <c r="K21" s="49" t="s">
        <v>147</v>
      </c>
      <c r="L21" s="49" t="s">
        <v>631</v>
      </c>
      <c r="M21" s="51">
        <v>46248</v>
      </c>
      <c r="N21" s="49" t="s">
        <v>132</v>
      </c>
      <c r="O21" s="49"/>
      <c r="P21" s="49"/>
    </row>
    <row r="22" spans="1:16" ht="30" customHeight="1">
      <c r="A22" s="42" t="s">
        <v>704</v>
      </c>
      <c r="B22" s="42" t="s">
        <v>680</v>
      </c>
      <c r="C22" s="42" t="s">
        <v>675</v>
      </c>
      <c r="D22" s="42" t="s">
        <v>705</v>
      </c>
      <c r="E22" s="42" t="s">
        <v>635</v>
      </c>
      <c r="F22" s="44" t="s">
        <v>701</v>
      </c>
      <c r="G22" s="42" t="s">
        <v>706</v>
      </c>
      <c r="H22" s="42" t="s">
        <v>678</v>
      </c>
      <c r="I22" s="42" t="s">
        <v>104</v>
      </c>
      <c r="J22" s="42" t="s">
        <v>115</v>
      </c>
      <c r="K22" s="42" t="s">
        <v>145</v>
      </c>
      <c r="L22" s="42" t="s">
        <v>631</v>
      </c>
      <c r="M22" s="50">
        <v>46248</v>
      </c>
      <c r="N22" s="42" t="s">
        <v>132</v>
      </c>
      <c r="O22" s="42"/>
      <c r="P22" s="42"/>
    </row>
    <row r="23" spans="1:16" ht="30" customHeight="1">
      <c r="A23" s="49" t="s">
        <v>707</v>
      </c>
      <c r="B23" s="49" t="s">
        <v>708</v>
      </c>
      <c r="C23" s="49" t="s">
        <v>709</v>
      </c>
      <c r="D23" s="49" t="s">
        <v>710</v>
      </c>
      <c r="E23" s="49" t="s">
        <v>635</v>
      </c>
      <c r="F23" s="46" t="s">
        <v>711</v>
      </c>
      <c r="G23" s="49" t="s">
        <v>629</v>
      </c>
      <c r="H23" s="49" t="s">
        <v>629</v>
      </c>
      <c r="I23" s="49" t="s">
        <v>102</v>
      </c>
      <c r="J23" s="49" t="s">
        <v>117</v>
      </c>
      <c r="K23" s="49" t="s">
        <v>147</v>
      </c>
      <c r="L23" s="49" t="s">
        <v>631</v>
      </c>
      <c r="M23" s="51">
        <v>46248</v>
      </c>
      <c r="N23" s="49" t="s">
        <v>132</v>
      </c>
      <c r="O23" s="49"/>
      <c r="P23" s="49"/>
    </row>
    <row r="24" spans="1:16" ht="30" customHeight="1">
      <c r="A24" s="42" t="s">
        <v>712</v>
      </c>
      <c r="B24" s="42" t="s">
        <v>708</v>
      </c>
      <c r="C24" s="42" t="s">
        <v>713</v>
      </c>
      <c r="D24" s="42" t="s">
        <v>714</v>
      </c>
      <c r="E24" s="42" t="s">
        <v>635</v>
      </c>
      <c r="F24" s="44" t="s">
        <v>715</v>
      </c>
      <c r="G24" s="42" t="s">
        <v>716</v>
      </c>
      <c r="H24" s="42" t="s">
        <v>716</v>
      </c>
      <c r="I24" s="42" t="s">
        <v>102</v>
      </c>
      <c r="J24" s="42" t="s">
        <v>117</v>
      </c>
      <c r="K24" s="42" t="s">
        <v>147</v>
      </c>
      <c r="L24" s="42" t="s">
        <v>631</v>
      </c>
      <c r="M24" s="50">
        <v>46248</v>
      </c>
      <c r="N24" s="42" t="s">
        <v>132</v>
      </c>
      <c r="O24" s="42"/>
      <c r="P24" s="42"/>
    </row>
    <row r="25" spans="1:16" ht="30" customHeight="1">
      <c r="A25" s="49" t="s">
        <v>717</v>
      </c>
      <c r="B25" s="49" t="s">
        <v>708</v>
      </c>
      <c r="C25" s="49" t="s">
        <v>718</v>
      </c>
      <c r="D25" s="49" t="s">
        <v>719</v>
      </c>
      <c r="E25" s="49" t="s">
        <v>635</v>
      </c>
      <c r="F25" s="46" t="s">
        <v>720</v>
      </c>
      <c r="G25" s="49" t="s">
        <v>721</v>
      </c>
      <c r="H25" s="49" t="s">
        <v>721</v>
      </c>
      <c r="I25" s="49" t="s">
        <v>102</v>
      </c>
      <c r="J25" s="49" t="s">
        <v>117</v>
      </c>
      <c r="K25" s="49" t="s">
        <v>147</v>
      </c>
      <c r="L25" s="49" t="s">
        <v>631</v>
      </c>
      <c r="M25" s="51">
        <v>46248</v>
      </c>
      <c r="N25" s="49" t="s">
        <v>132</v>
      </c>
      <c r="O25" s="49"/>
      <c r="P25" s="49"/>
    </row>
    <row r="26" spans="1:16" ht="30" customHeight="1">
      <c r="A26" s="42" t="s">
        <v>722</v>
      </c>
      <c r="B26" s="42" t="s">
        <v>708</v>
      </c>
      <c r="C26" s="42" t="s">
        <v>723</v>
      </c>
      <c r="D26" s="42" t="s">
        <v>724</v>
      </c>
      <c r="E26" s="42" t="s">
        <v>635</v>
      </c>
      <c r="F26" s="44" t="s">
        <v>720</v>
      </c>
      <c r="G26" s="42" t="s">
        <v>716</v>
      </c>
      <c r="H26" s="42" t="s">
        <v>716</v>
      </c>
      <c r="I26" s="42" t="s">
        <v>102</v>
      </c>
      <c r="J26" s="42" t="s">
        <v>117</v>
      </c>
      <c r="K26" s="42" t="s">
        <v>147</v>
      </c>
      <c r="L26" s="42" t="s">
        <v>631</v>
      </c>
      <c r="M26" s="50">
        <v>46248</v>
      </c>
      <c r="N26" s="42" t="s">
        <v>132</v>
      </c>
      <c r="O26" s="42"/>
      <c r="P26" s="42"/>
    </row>
    <row r="27" spans="1:16" ht="30" customHeight="1">
      <c r="A27" s="49" t="s">
        <v>725</v>
      </c>
      <c r="B27" s="49" t="s">
        <v>708</v>
      </c>
      <c r="C27" s="49" t="s">
        <v>726</v>
      </c>
      <c r="D27" s="49" t="s">
        <v>727</v>
      </c>
      <c r="E27" s="49" t="s">
        <v>635</v>
      </c>
      <c r="F27" s="46" t="s">
        <v>728</v>
      </c>
      <c r="G27" s="49" t="s">
        <v>729</v>
      </c>
      <c r="H27" s="49" t="s">
        <v>730</v>
      </c>
      <c r="I27" s="49" t="s">
        <v>102</v>
      </c>
      <c r="J27" s="49" t="s">
        <v>117</v>
      </c>
      <c r="K27" s="49" t="s">
        <v>147</v>
      </c>
      <c r="L27" s="49" t="s">
        <v>631</v>
      </c>
      <c r="M27" s="51">
        <v>46248</v>
      </c>
      <c r="N27" s="49" t="s">
        <v>132</v>
      </c>
      <c r="O27" s="49"/>
      <c r="P27" s="49"/>
    </row>
    <row r="28" spans="1:16" ht="30" customHeight="1">
      <c r="A28" s="42" t="s">
        <v>731</v>
      </c>
      <c r="B28" s="42" t="s">
        <v>708</v>
      </c>
      <c r="C28" s="42" t="s">
        <v>633</v>
      </c>
      <c r="D28" s="42" t="s">
        <v>732</v>
      </c>
      <c r="E28" s="42" t="s">
        <v>635</v>
      </c>
      <c r="F28" s="44" t="s">
        <v>711</v>
      </c>
      <c r="G28" s="42" t="s">
        <v>637</v>
      </c>
      <c r="H28" s="42" t="s">
        <v>638</v>
      </c>
      <c r="I28" s="42" t="s">
        <v>102</v>
      </c>
      <c r="J28" s="42" t="s">
        <v>117</v>
      </c>
      <c r="K28" s="42" t="s">
        <v>147</v>
      </c>
      <c r="L28" s="42" t="s">
        <v>631</v>
      </c>
      <c r="M28" s="50">
        <v>46248</v>
      </c>
      <c r="N28" s="42" t="s">
        <v>132</v>
      </c>
      <c r="O28" s="42"/>
      <c r="P28" s="42"/>
    </row>
    <row r="29" spans="1:16" ht="30" customHeight="1">
      <c r="A29" s="49" t="s">
        <v>733</v>
      </c>
      <c r="B29" s="49" t="s">
        <v>708</v>
      </c>
      <c r="C29" s="49" t="s">
        <v>734</v>
      </c>
      <c r="D29" s="49" t="s">
        <v>735</v>
      </c>
      <c r="E29" s="49" t="s">
        <v>635</v>
      </c>
      <c r="F29" s="46" t="s">
        <v>736</v>
      </c>
      <c r="G29" s="49" t="s">
        <v>737</v>
      </c>
      <c r="H29" s="49" t="s">
        <v>738</v>
      </c>
      <c r="I29" s="49" t="s">
        <v>102</v>
      </c>
      <c r="J29" s="49" t="s">
        <v>117</v>
      </c>
      <c r="K29" s="49" t="s">
        <v>147</v>
      </c>
      <c r="L29" s="49" t="s">
        <v>631</v>
      </c>
      <c r="M29" s="51">
        <v>46248</v>
      </c>
      <c r="N29" s="49" t="s">
        <v>132</v>
      </c>
      <c r="O29" s="49"/>
      <c r="P29" s="49"/>
    </row>
    <row r="30" spans="1:16" ht="30" customHeight="1">
      <c r="A30" s="42" t="s">
        <v>739</v>
      </c>
      <c r="B30" s="57" t="s">
        <v>740</v>
      </c>
      <c r="C30" s="42" t="s">
        <v>633</v>
      </c>
      <c r="D30" s="42" t="s">
        <v>741</v>
      </c>
      <c r="E30" s="42" t="s">
        <v>635</v>
      </c>
      <c r="F30" s="44" t="s">
        <v>742</v>
      </c>
      <c r="G30" s="42" t="s">
        <v>637</v>
      </c>
      <c r="H30" s="42" t="s">
        <v>638</v>
      </c>
      <c r="I30" s="42" t="s">
        <v>102</v>
      </c>
      <c r="J30" s="42" t="s">
        <v>117</v>
      </c>
      <c r="K30" s="42" t="s">
        <v>147</v>
      </c>
      <c r="L30" s="42" t="s">
        <v>631</v>
      </c>
      <c r="M30" s="50">
        <v>46248</v>
      </c>
      <c r="N30" s="42" t="s">
        <v>132</v>
      </c>
      <c r="O30" s="42"/>
      <c r="P30" s="42"/>
    </row>
    <row r="31" spans="1:16" ht="30" customHeight="1">
      <c r="A31" s="56" t="s">
        <v>743</v>
      </c>
      <c r="B31" s="73" t="s">
        <v>740</v>
      </c>
      <c r="C31" s="74" t="s">
        <v>744</v>
      </c>
      <c r="D31" s="49" t="s">
        <v>745</v>
      </c>
      <c r="E31" s="49" t="s">
        <v>635</v>
      </c>
      <c r="F31" s="52" t="s">
        <v>742</v>
      </c>
      <c r="G31" s="49" t="s">
        <v>746</v>
      </c>
      <c r="H31" s="49" t="s">
        <v>746</v>
      </c>
      <c r="I31" s="49" t="s">
        <v>102</v>
      </c>
      <c r="J31" s="49" t="s">
        <v>117</v>
      </c>
      <c r="K31" s="49" t="s">
        <v>147</v>
      </c>
      <c r="L31" s="49" t="s">
        <v>631</v>
      </c>
      <c r="M31" s="51">
        <v>46251</v>
      </c>
      <c r="N31" s="49" t="s">
        <v>132</v>
      </c>
      <c r="O31" s="48"/>
      <c r="P31" s="48"/>
    </row>
    <row r="32" spans="1:16" ht="30" customHeight="1">
      <c r="A32" s="42" t="s">
        <v>747</v>
      </c>
      <c r="B32" s="75" t="s">
        <v>740</v>
      </c>
      <c r="C32" s="42" t="s">
        <v>748</v>
      </c>
      <c r="D32" s="42" t="s">
        <v>749</v>
      </c>
      <c r="E32" s="42" t="s">
        <v>635</v>
      </c>
      <c r="F32" s="53" t="s">
        <v>750</v>
      </c>
      <c r="G32" s="42" t="s">
        <v>751</v>
      </c>
      <c r="H32" s="42" t="s">
        <v>730</v>
      </c>
      <c r="I32" s="42" t="s">
        <v>102</v>
      </c>
      <c r="J32" s="42" t="s">
        <v>117</v>
      </c>
      <c r="K32" s="42" t="s">
        <v>147</v>
      </c>
      <c r="L32" s="42" t="s">
        <v>631</v>
      </c>
      <c r="M32" s="50">
        <v>46251</v>
      </c>
      <c r="N32" s="42" t="s">
        <v>132</v>
      </c>
      <c r="O32" s="34"/>
      <c r="P32" s="34"/>
    </row>
    <row r="33" spans="1:16" ht="30" customHeight="1">
      <c r="A33" s="49" t="s">
        <v>752</v>
      </c>
      <c r="B33" s="49" t="s">
        <v>740</v>
      </c>
      <c r="C33" s="49" t="s">
        <v>753</v>
      </c>
      <c r="D33" s="49" t="s">
        <v>735</v>
      </c>
      <c r="E33" s="49" t="s">
        <v>635</v>
      </c>
      <c r="F33" s="46" t="s">
        <v>754</v>
      </c>
      <c r="G33" s="49" t="s">
        <v>755</v>
      </c>
      <c r="H33" s="49" t="s">
        <v>756</v>
      </c>
      <c r="I33" s="49" t="s">
        <v>102</v>
      </c>
      <c r="J33" s="49" t="s">
        <v>117</v>
      </c>
      <c r="K33" s="49" t="s">
        <v>147</v>
      </c>
      <c r="L33" s="49" t="s">
        <v>631</v>
      </c>
      <c r="M33" s="51">
        <v>46251</v>
      </c>
      <c r="N33" s="49" t="s">
        <v>132</v>
      </c>
      <c r="O33" s="48"/>
      <c r="P33" s="48"/>
    </row>
    <row r="34" spans="1:16" ht="30" customHeight="1">
      <c r="A34" s="42" t="s">
        <v>757</v>
      </c>
      <c r="B34" s="42" t="s">
        <v>740</v>
      </c>
      <c r="C34" s="42" t="s">
        <v>640</v>
      </c>
      <c r="D34" s="42" t="s">
        <v>758</v>
      </c>
      <c r="E34" s="42" t="s">
        <v>635</v>
      </c>
      <c r="F34" s="44" t="s">
        <v>742</v>
      </c>
      <c r="G34" s="42" t="s">
        <v>642</v>
      </c>
      <c r="H34" s="42" t="s">
        <v>642</v>
      </c>
      <c r="I34" s="42" t="s">
        <v>102</v>
      </c>
      <c r="J34" s="42" t="s">
        <v>117</v>
      </c>
      <c r="K34" s="42" t="s">
        <v>147</v>
      </c>
      <c r="L34" s="42" t="s">
        <v>631</v>
      </c>
      <c r="M34" s="50">
        <v>46251</v>
      </c>
      <c r="N34" s="42" t="s">
        <v>132</v>
      </c>
      <c r="O34" s="42"/>
      <c r="P34" s="42"/>
    </row>
    <row r="35" spans="1:16" ht="30" customHeight="1">
      <c r="A35" s="49" t="s">
        <v>759</v>
      </c>
      <c r="B35" s="49" t="s">
        <v>760</v>
      </c>
      <c r="C35" s="49" t="s">
        <v>633</v>
      </c>
      <c r="D35" s="49" t="s">
        <v>761</v>
      </c>
      <c r="E35" s="49" t="s">
        <v>635</v>
      </c>
      <c r="F35" s="46" t="s">
        <v>762</v>
      </c>
      <c r="G35" s="49" t="s">
        <v>637</v>
      </c>
      <c r="H35" s="49" t="s">
        <v>638</v>
      </c>
      <c r="I35" s="49" t="s">
        <v>102</v>
      </c>
      <c r="J35" s="49" t="s">
        <v>117</v>
      </c>
      <c r="K35" s="49" t="s">
        <v>147</v>
      </c>
      <c r="L35" s="49" t="s">
        <v>631</v>
      </c>
      <c r="M35" s="51">
        <v>46251</v>
      </c>
      <c r="N35" s="49" t="s">
        <v>132</v>
      </c>
      <c r="O35" s="49"/>
      <c r="P35" s="49"/>
    </row>
    <row r="36" spans="1:16" ht="30" customHeight="1">
      <c r="A36" s="42" t="s">
        <v>763</v>
      </c>
      <c r="B36" s="42" t="s">
        <v>760</v>
      </c>
      <c r="C36" s="42" t="s">
        <v>640</v>
      </c>
      <c r="D36" s="42" t="s">
        <v>764</v>
      </c>
      <c r="E36" s="42" t="s">
        <v>635</v>
      </c>
      <c r="F36" s="44" t="s">
        <v>762</v>
      </c>
      <c r="G36" s="42" t="s">
        <v>642</v>
      </c>
      <c r="H36" s="42" t="s">
        <v>642</v>
      </c>
      <c r="I36" s="42" t="s">
        <v>102</v>
      </c>
      <c r="J36" s="42" t="s">
        <v>117</v>
      </c>
      <c r="K36" s="42" t="s">
        <v>147</v>
      </c>
      <c r="L36" s="42" t="s">
        <v>631</v>
      </c>
      <c r="M36" s="50">
        <v>46255</v>
      </c>
      <c r="N36" s="42" t="s">
        <v>132</v>
      </c>
      <c r="O36" s="42"/>
      <c r="P36" s="42"/>
    </row>
    <row r="37" spans="1:16" ht="30" customHeight="1">
      <c r="A37" s="49" t="s">
        <v>765</v>
      </c>
      <c r="B37" s="49" t="s">
        <v>760</v>
      </c>
      <c r="C37" s="49" t="s">
        <v>625</v>
      </c>
      <c r="D37" s="49" t="s">
        <v>766</v>
      </c>
      <c r="E37" s="49" t="s">
        <v>635</v>
      </c>
      <c r="F37" s="46" t="s">
        <v>767</v>
      </c>
      <c r="G37" s="49" t="s">
        <v>629</v>
      </c>
      <c r="H37" s="49" t="s">
        <v>630</v>
      </c>
      <c r="I37" s="49" t="s">
        <v>102</v>
      </c>
      <c r="J37" s="49" t="s">
        <v>117</v>
      </c>
      <c r="K37" s="49" t="s">
        <v>147</v>
      </c>
      <c r="L37" s="49" t="s">
        <v>631</v>
      </c>
      <c r="M37" s="51">
        <v>46255</v>
      </c>
      <c r="N37" s="49" t="s">
        <v>132</v>
      </c>
      <c r="O37" s="49"/>
      <c r="P37" s="49"/>
    </row>
    <row r="38" spans="1:16" ht="30" customHeight="1">
      <c r="A38" s="42" t="s">
        <v>768</v>
      </c>
      <c r="B38" s="42" t="s">
        <v>760</v>
      </c>
      <c r="C38" s="42" t="s">
        <v>769</v>
      </c>
      <c r="D38" s="42" t="s">
        <v>770</v>
      </c>
      <c r="E38" s="42" t="s">
        <v>635</v>
      </c>
      <c r="F38" s="44" t="s">
        <v>762</v>
      </c>
      <c r="G38" s="42" t="s">
        <v>771</v>
      </c>
      <c r="H38" s="42" t="s">
        <v>771</v>
      </c>
      <c r="I38" s="42" t="s">
        <v>102</v>
      </c>
      <c r="J38" s="42" t="s">
        <v>117</v>
      </c>
      <c r="K38" s="42" t="s">
        <v>147</v>
      </c>
      <c r="L38" s="42" t="s">
        <v>631</v>
      </c>
      <c r="M38" s="50">
        <v>46255</v>
      </c>
      <c r="N38" s="42" t="s">
        <v>132</v>
      </c>
      <c r="O38" s="42"/>
      <c r="P38" s="42"/>
    </row>
    <row r="39" spans="1:16" ht="30" customHeight="1">
      <c r="A39" s="49" t="s">
        <v>772</v>
      </c>
      <c r="B39" s="49" t="s">
        <v>773</v>
      </c>
      <c r="C39" s="49" t="s">
        <v>774</v>
      </c>
      <c r="D39" s="49" t="s">
        <v>775</v>
      </c>
      <c r="E39" s="49" t="s">
        <v>635</v>
      </c>
      <c r="F39" s="46" t="s">
        <v>776</v>
      </c>
      <c r="G39" s="49" t="s">
        <v>777</v>
      </c>
      <c r="H39" s="49" t="s">
        <v>778</v>
      </c>
      <c r="I39" s="49" t="s">
        <v>102</v>
      </c>
      <c r="J39" s="49" t="s">
        <v>117</v>
      </c>
      <c r="K39" s="49" t="s">
        <v>147</v>
      </c>
      <c r="L39" s="49" t="s">
        <v>631</v>
      </c>
      <c r="M39" s="51">
        <v>46255</v>
      </c>
      <c r="N39" s="49" t="s">
        <v>132</v>
      </c>
      <c r="O39" s="49"/>
      <c r="P39" s="49"/>
    </row>
    <row r="40" spans="1:16" ht="30" customHeight="1">
      <c r="A40" s="42" t="s">
        <v>779</v>
      </c>
      <c r="B40" s="42" t="s">
        <v>773</v>
      </c>
      <c r="C40" s="42" t="s">
        <v>769</v>
      </c>
      <c r="D40" s="42" t="s">
        <v>780</v>
      </c>
      <c r="E40" s="42" t="s">
        <v>635</v>
      </c>
      <c r="F40" s="44" t="s">
        <v>776</v>
      </c>
      <c r="G40" s="42" t="s">
        <v>781</v>
      </c>
      <c r="H40" s="42" t="s">
        <v>781</v>
      </c>
      <c r="I40" s="42" t="s">
        <v>102</v>
      </c>
      <c r="J40" s="42" t="s">
        <v>117</v>
      </c>
      <c r="K40" s="42" t="s">
        <v>147</v>
      </c>
      <c r="L40" s="42" t="s">
        <v>631</v>
      </c>
      <c r="M40" s="50">
        <v>46255</v>
      </c>
      <c r="N40" s="42" t="s">
        <v>132</v>
      </c>
      <c r="O40" s="42"/>
      <c r="P40" s="42"/>
    </row>
    <row r="41" spans="1:16" ht="30" customHeight="1">
      <c r="A41" s="49" t="s">
        <v>782</v>
      </c>
      <c r="B41" s="49" t="s">
        <v>783</v>
      </c>
      <c r="C41" s="49" t="s">
        <v>784</v>
      </c>
      <c r="D41" s="49" t="s">
        <v>785</v>
      </c>
      <c r="E41" s="49" t="s">
        <v>635</v>
      </c>
      <c r="F41" s="46" t="s">
        <v>786</v>
      </c>
      <c r="G41" s="49" t="s">
        <v>787</v>
      </c>
      <c r="H41" s="49" t="s">
        <v>788</v>
      </c>
      <c r="I41" s="49" t="s">
        <v>104</v>
      </c>
      <c r="J41" s="49" t="s">
        <v>115</v>
      </c>
      <c r="K41" s="49" t="s">
        <v>129</v>
      </c>
      <c r="L41" s="49" t="s">
        <v>631</v>
      </c>
      <c r="M41" s="51">
        <v>46255</v>
      </c>
      <c r="N41" s="49" t="s">
        <v>132</v>
      </c>
      <c r="O41" s="49"/>
      <c r="P41" s="49"/>
    </row>
    <row r="42" spans="1:16" ht="30" customHeight="1">
      <c r="A42" s="42" t="s">
        <v>789</v>
      </c>
      <c r="B42" s="42" t="s">
        <v>790</v>
      </c>
      <c r="C42" s="42" t="s">
        <v>791</v>
      </c>
      <c r="D42" s="42" t="s">
        <v>792</v>
      </c>
      <c r="E42" s="42" t="s">
        <v>635</v>
      </c>
      <c r="F42" s="44" t="s">
        <v>793</v>
      </c>
      <c r="G42" s="42" t="s">
        <v>794</v>
      </c>
      <c r="H42" s="42" t="s">
        <v>795</v>
      </c>
      <c r="I42" s="42" t="s">
        <v>102</v>
      </c>
      <c r="J42" s="42" t="s">
        <v>117</v>
      </c>
      <c r="K42" s="42" t="s">
        <v>147</v>
      </c>
      <c r="L42" s="42" t="s">
        <v>631</v>
      </c>
      <c r="M42" s="50">
        <v>46255</v>
      </c>
      <c r="N42" s="42" t="s">
        <v>132</v>
      </c>
      <c r="O42" s="42"/>
      <c r="P42" s="42"/>
    </row>
    <row r="43" spans="1:16" ht="30" customHeight="1">
      <c r="A43" s="49"/>
      <c r="B43" s="49"/>
      <c r="C43" s="49"/>
      <c r="D43" s="49"/>
      <c r="E43" s="49"/>
      <c r="F43" s="49"/>
      <c r="G43" s="49"/>
      <c r="H43" s="49"/>
      <c r="I43" s="49"/>
      <c r="J43" s="49"/>
      <c r="K43" s="49"/>
      <c r="L43" s="49"/>
      <c r="M43" s="51"/>
      <c r="N43" s="49"/>
      <c r="O43" s="49"/>
      <c r="P43" s="49"/>
    </row>
    <row r="44" spans="1:16" ht="30" customHeight="1">
      <c r="A44" s="42"/>
      <c r="B44" s="42"/>
      <c r="C44" s="42"/>
      <c r="D44" s="42"/>
      <c r="E44" s="42"/>
      <c r="F44" s="42"/>
      <c r="G44" s="42"/>
      <c r="H44" s="42"/>
      <c r="I44" s="42"/>
      <c r="J44" s="42"/>
      <c r="K44" s="42"/>
      <c r="L44" s="42"/>
      <c r="M44" s="50"/>
      <c r="N44" s="42"/>
      <c r="O44" s="42"/>
      <c r="P44" s="42"/>
    </row>
    <row r="45" spans="1:16" ht="30" customHeight="1">
      <c r="A45" s="42"/>
      <c r="B45" s="42"/>
      <c r="C45" s="42"/>
      <c r="D45" s="42"/>
      <c r="E45" s="42"/>
      <c r="F45" s="42"/>
      <c r="G45" s="42"/>
      <c r="H45" s="42"/>
      <c r="I45" s="42"/>
      <c r="J45" s="42"/>
      <c r="K45" s="42"/>
      <c r="L45" s="42"/>
      <c r="M45" s="50"/>
      <c r="N45" s="42"/>
      <c r="O45" s="42"/>
      <c r="P45" s="42"/>
    </row>
    <row r="46" spans="1:16" ht="30" customHeight="1">
      <c r="A46" s="42"/>
      <c r="B46" s="42"/>
      <c r="C46" s="42"/>
      <c r="D46" s="42"/>
      <c r="E46" s="42"/>
      <c r="F46" s="42"/>
      <c r="G46" s="42"/>
      <c r="H46" s="42"/>
      <c r="I46" s="42"/>
      <c r="J46" s="42"/>
      <c r="K46" s="42"/>
      <c r="L46" s="42"/>
      <c r="M46" s="50"/>
      <c r="N46" s="42"/>
      <c r="O46" s="42"/>
      <c r="P46" s="42"/>
    </row>
    <row r="47" spans="1:16" ht="30" customHeight="1">
      <c r="A47" s="42"/>
      <c r="B47" s="42"/>
      <c r="C47" s="42"/>
      <c r="D47" s="42"/>
      <c r="E47" s="42"/>
      <c r="F47" s="42"/>
      <c r="G47" s="42"/>
      <c r="H47" s="42"/>
      <c r="I47" s="42"/>
      <c r="J47" s="42"/>
      <c r="K47" s="42"/>
      <c r="L47" s="42"/>
      <c r="M47" s="50"/>
      <c r="N47" s="42"/>
      <c r="O47" s="42"/>
      <c r="P47" s="42"/>
    </row>
    <row r="48" spans="1:16" ht="30" customHeight="1">
      <c r="A48" s="42"/>
      <c r="B48" s="42"/>
      <c r="C48" s="42"/>
      <c r="D48" s="42"/>
      <c r="E48" s="42"/>
      <c r="F48" s="42"/>
      <c r="G48" s="42"/>
      <c r="H48" s="42"/>
      <c r="I48" s="42"/>
      <c r="J48" s="42"/>
      <c r="K48" s="42"/>
      <c r="L48" s="42"/>
      <c r="M48" s="50"/>
      <c r="N48" s="42"/>
      <c r="O48" s="42"/>
      <c r="P48" s="42"/>
    </row>
    <row r="49" spans="1:16" ht="30" customHeight="1">
      <c r="A49" s="42"/>
      <c r="B49" s="42"/>
      <c r="C49" s="42"/>
      <c r="D49" s="42"/>
      <c r="E49" s="42"/>
      <c r="F49" s="42"/>
      <c r="G49" s="42"/>
      <c r="H49" s="42"/>
      <c r="I49" s="42"/>
      <c r="J49" s="42"/>
      <c r="K49" s="42"/>
      <c r="L49" s="42"/>
      <c r="M49" s="50"/>
      <c r="N49" s="42"/>
      <c r="O49" s="42"/>
      <c r="P49" s="42"/>
    </row>
    <row r="50" spans="1:16" ht="30" customHeight="1">
      <c r="A50" s="42"/>
      <c r="B50" s="42"/>
      <c r="C50" s="42"/>
      <c r="D50" s="42"/>
      <c r="E50" s="42"/>
      <c r="F50" s="42"/>
      <c r="G50" s="42"/>
      <c r="H50" s="42"/>
      <c r="I50" s="42"/>
      <c r="J50" s="42"/>
      <c r="K50" s="42"/>
      <c r="L50" s="42"/>
      <c r="M50" s="50"/>
      <c r="N50" s="42"/>
      <c r="O50" s="42"/>
      <c r="P50" s="42"/>
    </row>
    <row r="51" spans="1:16" ht="30" customHeight="1">
      <c r="A51" s="42"/>
      <c r="B51" s="42"/>
      <c r="C51" s="42"/>
      <c r="D51" s="42"/>
      <c r="E51" s="42"/>
      <c r="F51" s="42"/>
      <c r="G51" s="42"/>
      <c r="H51" s="42"/>
      <c r="I51" s="42"/>
      <c r="J51" s="42"/>
      <c r="K51" s="42"/>
      <c r="L51" s="42"/>
      <c r="M51" s="50"/>
      <c r="N51" s="42"/>
      <c r="O51" s="42"/>
      <c r="P51" s="42"/>
    </row>
    <row r="52" spans="1:16" ht="30" customHeight="1">
      <c r="A52" s="42"/>
      <c r="B52" s="42"/>
      <c r="C52" s="42"/>
      <c r="D52" s="42"/>
      <c r="E52" s="42"/>
      <c r="F52" s="42"/>
      <c r="G52" s="42"/>
      <c r="H52" s="42"/>
      <c r="I52" s="42"/>
      <c r="J52" s="42"/>
      <c r="K52" s="42"/>
      <c r="L52" s="42"/>
      <c r="M52" s="50"/>
      <c r="N52" s="42"/>
      <c r="O52" s="42"/>
      <c r="P52" s="42"/>
    </row>
    <row r="53" spans="1:16" ht="30" customHeight="1">
      <c r="A53" s="42"/>
      <c r="B53" s="42"/>
      <c r="C53" s="42"/>
      <c r="D53" s="42"/>
      <c r="E53" s="42"/>
      <c r="F53" s="42"/>
      <c r="G53" s="42"/>
      <c r="H53" s="42"/>
      <c r="I53" s="42"/>
      <c r="J53" s="42"/>
      <c r="K53" s="42"/>
      <c r="L53" s="42"/>
      <c r="M53" s="50"/>
      <c r="N53" s="42"/>
      <c r="O53" s="42"/>
      <c r="P53" s="42"/>
    </row>
    <row r="54" spans="1:16" ht="30" customHeight="1">
      <c r="A54" s="42"/>
      <c r="B54" s="42"/>
      <c r="C54" s="42"/>
      <c r="D54" s="42"/>
      <c r="E54" s="42"/>
      <c r="F54" s="42"/>
      <c r="G54" s="42"/>
      <c r="H54" s="42"/>
      <c r="I54" s="42"/>
      <c r="J54" s="42"/>
      <c r="K54" s="42"/>
      <c r="L54" s="42"/>
      <c r="M54" s="50"/>
      <c r="N54" s="42"/>
      <c r="O54" s="42"/>
      <c r="P54" s="42"/>
    </row>
    <row r="55" spans="1:16" ht="30" customHeight="1">
      <c r="A55" s="42"/>
      <c r="B55" s="42"/>
      <c r="C55" s="42"/>
      <c r="D55" s="42"/>
      <c r="E55" s="42"/>
      <c r="F55" s="42"/>
      <c r="G55" s="42"/>
      <c r="H55" s="42"/>
      <c r="I55" s="42"/>
      <c r="J55" s="42"/>
      <c r="K55" s="42"/>
      <c r="L55" s="42"/>
      <c r="M55" s="50"/>
      <c r="N55" s="42"/>
      <c r="O55" s="42"/>
      <c r="P55" s="42"/>
    </row>
    <row r="56" spans="1:16" ht="30" customHeight="1">
      <c r="A56" s="42"/>
      <c r="B56" s="42"/>
      <c r="C56" s="42"/>
      <c r="D56" s="42"/>
      <c r="E56" s="42"/>
      <c r="F56" s="42"/>
      <c r="G56" s="42"/>
      <c r="H56" s="42"/>
      <c r="I56" s="42"/>
      <c r="J56" s="42"/>
      <c r="K56" s="42"/>
      <c r="L56" s="42"/>
      <c r="M56" s="50"/>
      <c r="N56" s="42"/>
      <c r="O56" s="42"/>
      <c r="P56" s="42"/>
    </row>
    <row r="57" spans="1:16" ht="30" customHeight="1">
      <c r="A57" s="42"/>
      <c r="B57" s="42"/>
      <c r="C57" s="42"/>
      <c r="D57" s="42"/>
      <c r="E57" s="42"/>
      <c r="F57" s="42"/>
      <c r="G57" s="42"/>
      <c r="H57" s="42"/>
      <c r="I57" s="42"/>
      <c r="J57" s="42"/>
      <c r="K57" s="42"/>
      <c r="L57" s="42"/>
      <c r="M57" s="50"/>
      <c r="N57" s="42"/>
      <c r="O57" s="42"/>
      <c r="P57" s="42"/>
    </row>
    <row r="58" spans="1:16" ht="30" customHeight="1">
      <c r="A58" s="42"/>
      <c r="B58" s="42"/>
      <c r="C58" s="42"/>
      <c r="D58" s="42"/>
      <c r="E58" s="42"/>
      <c r="F58" s="42"/>
      <c r="G58" s="42"/>
      <c r="H58" s="42"/>
      <c r="I58" s="42"/>
      <c r="J58" s="42"/>
      <c r="K58" s="42"/>
      <c r="L58" s="42"/>
      <c r="M58" s="50"/>
      <c r="N58" s="42"/>
      <c r="O58" s="42"/>
      <c r="P58" s="42"/>
    </row>
    <row r="59" spans="1:16" ht="30" customHeight="1">
      <c r="A59" s="42"/>
      <c r="B59" s="42"/>
      <c r="C59" s="42"/>
      <c r="D59" s="42"/>
      <c r="E59" s="42"/>
      <c r="F59" s="42"/>
      <c r="G59" s="42"/>
      <c r="H59" s="42"/>
      <c r="I59" s="42"/>
      <c r="J59" s="42"/>
      <c r="K59" s="42"/>
      <c r="L59" s="42"/>
      <c r="M59" s="50"/>
      <c r="N59" s="42"/>
      <c r="O59" s="42"/>
      <c r="P59" s="42"/>
    </row>
    <row r="60" spans="1:16" ht="30" customHeight="1">
      <c r="A60" s="42"/>
      <c r="B60" s="42"/>
      <c r="C60" s="42"/>
      <c r="D60" s="42"/>
      <c r="E60" s="42"/>
      <c r="F60" s="42"/>
      <c r="G60" s="42"/>
      <c r="H60" s="42"/>
      <c r="I60" s="42"/>
      <c r="J60" s="42"/>
      <c r="K60" s="42"/>
      <c r="L60" s="42"/>
      <c r="M60" s="50"/>
      <c r="N60" s="42"/>
      <c r="O60" s="42"/>
      <c r="P60" s="42"/>
    </row>
    <row r="61" spans="1:16" ht="30" customHeight="1">
      <c r="A61" s="34"/>
      <c r="B61" s="34"/>
      <c r="C61" s="34"/>
      <c r="D61" s="34"/>
      <c r="E61" s="34"/>
      <c r="F61" s="34"/>
      <c r="G61" s="34"/>
      <c r="H61" s="34"/>
      <c r="I61" s="34"/>
      <c r="J61" s="34"/>
      <c r="K61" s="34"/>
      <c r="L61" s="34"/>
      <c r="M61" s="35"/>
      <c r="N61" s="34"/>
      <c r="O61" s="34"/>
      <c r="P61" s="34"/>
    </row>
    <row r="62" spans="1:16" ht="30" customHeight="1">
      <c r="A62" s="34"/>
      <c r="B62" s="34"/>
      <c r="C62" s="34"/>
      <c r="D62" s="34"/>
      <c r="E62" s="34"/>
      <c r="F62" s="34"/>
      <c r="G62" s="34"/>
      <c r="H62" s="34"/>
      <c r="I62" s="34"/>
      <c r="J62" s="34"/>
      <c r="K62" s="34"/>
      <c r="L62" s="34"/>
      <c r="M62" s="35"/>
      <c r="N62" s="34"/>
      <c r="O62" s="34"/>
      <c r="P62" s="34"/>
    </row>
    <row r="63" spans="1:16" ht="30" customHeight="1">
      <c r="A63" s="34"/>
      <c r="B63" s="34"/>
      <c r="C63" s="34"/>
      <c r="D63" s="34"/>
      <c r="E63" s="34"/>
      <c r="F63" s="34"/>
      <c r="G63" s="34"/>
      <c r="H63" s="34"/>
      <c r="I63" s="34"/>
      <c r="J63" s="34"/>
      <c r="K63" s="34"/>
      <c r="L63" s="34"/>
      <c r="M63" s="35"/>
      <c r="N63" s="34"/>
      <c r="O63" s="34"/>
      <c r="P63" s="34"/>
    </row>
    <row r="64" spans="1:16" ht="30" customHeight="1">
      <c r="A64" s="34"/>
      <c r="B64" s="34"/>
      <c r="C64" s="34"/>
      <c r="D64" s="34"/>
      <c r="E64" s="34"/>
      <c r="F64" s="34"/>
      <c r="G64" s="34"/>
      <c r="H64" s="34"/>
      <c r="I64" s="34"/>
      <c r="J64" s="34"/>
      <c r="K64" s="34"/>
      <c r="L64" s="34"/>
      <c r="M64" s="35"/>
      <c r="N64" s="34"/>
      <c r="O64" s="34"/>
      <c r="P64" s="34"/>
    </row>
    <row r="65" spans="1:16" ht="30" customHeight="1">
      <c r="A65" s="34"/>
      <c r="B65" s="34"/>
      <c r="C65" s="34"/>
      <c r="D65" s="34"/>
      <c r="E65" s="34"/>
      <c r="F65" s="34"/>
      <c r="G65" s="34"/>
      <c r="H65" s="34"/>
      <c r="I65" s="34"/>
      <c r="J65" s="34"/>
      <c r="K65" s="34"/>
      <c r="L65" s="34"/>
      <c r="M65" s="35"/>
      <c r="N65" s="34"/>
      <c r="O65" s="34"/>
      <c r="P65" s="34"/>
    </row>
    <row r="66" spans="1:16" ht="30" customHeight="1">
      <c r="A66" s="34"/>
      <c r="B66" s="34"/>
      <c r="C66" s="34"/>
      <c r="D66" s="34"/>
      <c r="E66" s="34"/>
      <c r="F66" s="34"/>
      <c r="G66" s="34"/>
      <c r="H66" s="34"/>
      <c r="I66" s="34"/>
      <c r="J66" s="34"/>
      <c r="K66" s="34"/>
      <c r="L66" s="34"/>
      <c r="M66" s="35"/>
      <c r="N66" s="34"/>
      <c r="O66" s="34"/>
      <c r="P66" s="34"/>
    </row>
    <row r="67" spans="1:16" ht="30" customHeight="1">
      <c r="A67" s="34"/>
      <c r="B67" s="34"/>
      <c r="C67" s="34"/>
      <c r="D67" s="34"/>
      <c r="E67" s="34"/>
      <c r="F67" s="34"/>
      <c r="G67" s="34"/>
      <c r="H67" s="34"/>
      <c r="I67" s="34"/>
      <c r="J67" s="34"/>
      <c r="K67" s="34"/>
      <c r="L67" s="34"/>
      <c r="M67" s="35"/>
      <c r="N67" s="34"/>
      <c r="O67" s="34"/>
      <c r="P67" s="34"/>
    </row>
    <row r="68" spans="1:16" ht="30" customHeight="1">
      <c r="A68" s="34"/>
      <c r="B68" s="34"/>
      <c r="C68" s="34"/>
      <c r="D68" s="34"/>
      <c r="E68" s="34"/>
      <c r="F68" s="34"/>
      <c r="G68" s="34"/>
      <c r="H68" s="34"/>
      <c r="I68" s="34"/>
      <c r="J68" s="34"/>
      <c r="K68" s="34"/>
      <c r="L68" s="34"/>
      <c r="M68" s="35"/>
      <c r="N68" s="34"/>
      <c r="O68" s="34"/>
      <c r="P68" s="34"/>
    </row>
    <row r="69" spans="1:16" ht="30" customHeight="1">
      <c r="A69" s="34"/>
      <c r="B69" s="34"/>
      <c r="C69" s="34"/>
      <c r="D69" s="34"/>
      <c r="E69" s="34"/>
      <c r="F69" s="34"/>
      <c r="G69" s="34"/>
      <c r="H69" s="34"/>
      <c r="I69" s="34"/>
      <c r="J69" s="34"/>
      <c r="K69" s="34"/>
      <c r="L69" s="34"/>
      <c r="M69" s="35"/>
      <c r="N69" s="34"/>
      <c r="O69" s="34"/>
      <c r="P69" s="34"/>
    </row>
    <row r="70" spans="1:16" ht="30" customHeight="1">
      <c r="A70" s="34"/>
      <c r="B70" s="34"/>
      <c r="C70" s="34"/>
      <c r="D70" s="34"/>
      <c r="E70" s="34"/>
      <c r="F70" s="34"/>
      <c r="G70" s="34"/>
      <c r="H70" s="34"/>
      <c r="I70" s="34"/>
      <c r="J70" s="34"/>
      <c r="K70" s="34"/>
      <c r="L70" s="34"/>
      <c r="M70" s="35"/>
      <c r="N70" s="34"/>
      <c r="O70" s="34"/>
      <c r="P70" s="34"/>
    </row>
    <row r="71" spans="1:16" ht="30" customHeight="1">
      <c r="A71" s="34"/>
      <c r="B71" s="34"/>
      <c r="C71" s="34"/>
      <c r="D71" s="34"/>
      <c r="E71" s="34"/>
      <c r="F71" s="34"/>
      <c r="G71" s="34"/>
      <c r="H71" s="34"/>
      <c r="I71" s="34"/>
      <c r="J71" s="34"/>
      <c r="K71" s="34"/>
      <c r="L71" s="34"/>
      <c r="M71" s="35"/>
      <c r="N71" s="34"/>
      <c r="O71" s="34"/>
      <c r="P71" s="34"/>
    </row>
    <row r="72" spans="1:16" ht="30" customHeight="1">
      <c r="A72" s="34"/>
      <c r="B72" s="34"/>
      <c r="C72" s="34"/>
      <c r="D72" s="34"/>
      <c r="E72" s="34"/>
      <c r="F72" s="34"/>
      <c r="G72" s="34"/>
      <c r="H72" s="34"/>
      <c r="I72" s="34"/>
      <c r="J72" s="34"/>
      <c r="K72" s="34"/>
      <c r="L72" s="34"/>
      <c r="M72" s="35"/>
      <c r="N72" s="34"/>
      <c r="O72" s="34"/>
      <c r="P72" s="34"/>
    </row>
    <row r="73" spans="1:16" ht="30" customHeight="1">
      <c r="A73" s="34"/>
      <c r="B73" s="34"/>
      <c r="C73" s="34"/>
      <c r="D73" s="34"/>
      <c r="E73" s="34"/>
      <c r="F73" s="34"/>
      <c r="G73" s="34"/>
      <c r="H73" s="34"/>
      <c r="I73" s="34"/>
      <c r="J73" s="34"/>
      <c r="K73" s="34"/>
      <c r="L73" s="34"/>
      <c r="M73" s="35"/>
      <c r="N73" s="34"/>
      <c r="O73" s="34"/>
      <c r="P73" s="34"/>
    </row>
    <row r="74" spans="1:16" ht="30" customHeight="1">
      <c r="A74" s="34"/>
      <c r="B74" s="34"/>
      <c r="C74" s="34"/>
      <c r="D74" s="34"/>
      <c r="E74" s="34"/>
      <c r="F74" s="34"/>
      <c r="G74" s="34"/>
      <c r="H74" s="34"/>
      <c r="I74" s="34"/>
      <c r="J74" s="34"/>
      <c r="K74" s="34"/>
      <c r="L74" s="34"/>
      <c r="M74" s="35"/>
      <c r="N74" s="34"/>
      <c r="O74" s="34"/>
      <c r="P74" s="34"/>
    </row>
    <row r="75" spans="1:16" ht="30" customHeight="1">
      <c r="A75" s="34"/>
      <c r="B75" s="34"/>
      <c r="C75" s="34"/>
      <c r="D75" s="34"/>
      <c r="E75" s="34"/>
      <c r="F75" s="34"/>
      <c r="G75" s="34"/>
      <c r="H75" s="34"/>
      <c r="I75" s="34"/>
      <c r="J75" s="34"/>
      <c r="K75" s="34"/>
      <c r="L75" s="34"/>
      <c r="M75" s="35"/>
      <c r="N75" s="34"/>
      <c r="O75" s="34"/>
      <c r="P75" s="34"/>
    </row>
    <row r="76" spans="1:16" ht="30" customHeight="1">
      <c r="A76" s="34"/>
      <c r="B76" s="34"/>
      <c r="C76" s="34"/>
      <c r="D76" s="34"/>
      <c r="E76" s="34"/>
      <c r="F76" s="34"/>
      <c r="G76" s="34"/>
      <c r="H76" s="34"/>
      <c r="I76" s="34"/>
      <c r="J76" s="34"/>
      <c r="K76" s="34"/>
      <c r="L76" s="34"/>
      <c r="M76" s="35"/>
      <c r="N76" s="34"/>
      <c r="O76" s="34"/>
      <c r="P76" s="34"/>
    </row>
    <row r="77" spans="1:16" ht="30" customHeight="1">
      <c r="A77" s="34"/>
      <c r="B77" s="34"/>
      <c r="C77" s="34"/>
      <c r="D77" s="34"/>
      <c r="E77" s="34"/>
      <c r="F77" s="34"/>
      <c r="G77" s="34"/>
      <c r="H77" s="34"/>
      <c r="I77" s="34"/>
      <c r="J77" s="34"/>
      <c r="K77" s="34"/>
      <c r="L77" s="34"/>
      <c r="M77" s="35"/>
      <c r="N77" s="34"/>
      <c r="O77" s="34"/>
      <c r="P77" s="34"/>
    </row>
    <row r="78" spans="1:16" ht="30" customHeight="1">
      <c r="A78" s="34"/>
      <c r="B78" s="34"/>
      <c r="C78" s="34"/>
      <c r="D78" s="34"/>
      <c r="E78" s="34"/>
      <c r="F78" s="34"/>
      <c r="G78" s="34"/>
      <c r="H78" s="34"/>
      <c r="I78" s="34"/>
      <c r="J78" s="34"/>
      <c r="K78" s="34"/>
      <c r="L78" s="34"/>
      <c r="M78" s="35"/>
      <c r="N78" s="34"/>
      <c r="O78" s="34"/>
      <c r="P78" s="34"/>
    </row>
    <row r="79" spans="1:16" ht="30" customHeight="1">
      <c r="A79" s="34"/>
      <c r="B79" s="34"/>
      <c r="C79" s="34"/>
      <c r="D79" s="34"/>
      <c r="E79" s="34"/>
      <c r="F79" s="34"/>
      <c r="G79" s="34"/>
      <c r="H79" s="34"/>
      <c r="I79" s="34"/>
      <c r="J79" s="34"/>
      <c r="K79" s="34"/>
      <c r="L79" s="34"/>
      <c r="M79" s="35"/>
      <c r="N79" s="34"/>
      <c r="O79" s="34"/>
      <c r="P79" s="34"/>
    </row>
    <row r="80" spans="1:16" ht="30" customHeight="1">
      <c r="A80" s="34"/>
      <c r="B80" s="34"/>
      <c r="C80" s="34"/>
      <c r="D80" s="34"/>
      <c r="E80" s="34"/>
      <c r="F80" s="34"/>
      <c r="G80" s="34"/>
      <c r="H80" s="34"/>
      <c r="I80" s="34"/>
      <c r="J80" s="34"/>
      <c r="K80" s="34"/>
      <c r="L80" s="34"/>
      <c r="M80" s="35"/>
      <c r="N80" s="34"/>
      <c r="O80" s="34"/>
      <c r="P80" s="34"/>
    </row>
    <row r="81" spans="1:16" ht="30" customHeight="1">
      <c r="A81" s="34"/>
      <c r="B81" s="34"/>
      <c r="C81" s="34"/>
      <c r="D81" s="34"/>
      <c r="E81" s="34"/>
      <c r="F81" s="34"/>
      <c r="G81" s="34"/>
      <c r="H81" s="34"/>
      <c r="I81" s="34"/>
      <c r="J81" s="34"/>
      <c r="K81" s="34"/>
      <c r="L81" s="34"/>
      <c r="M81" s="35"/>
      <c r="N81" s="34"/>
      <c r="O81" s="34"/>
      <c r="P81" s="34"/>
    </row>
    <row r="82" spans="1:16" ht="30" customHeight="1">
      <c r="A82" s="34"/>
      <c r="B82" s="34"/>
      <c r="C82" s="34"/>
      <c r="D82" s="34"/>
      <c r="E82" s="34"/>
      <c r="F82" s="34"/>
      <c r="G82" s="34"/>
      <c r="H82" s="34"/>
      <c r="I82" s="34"/>
      <c r="J82" s="34"/>
      <c r="K82" s="34"/>
      <c r="L82" s="34"/>
      <c r="M82" s="35"/>
      <c r="N82" s="34"/>
      <c r="O82" s="34"/>
      <c r="P82" s="34"/>
    </row>
    <row r="83" spans="1:16" ht="30" customHeight="1">
      <c r="A83" s="34"/>
      <c r="B83" s="34"/>
      <c r="C83" s="34"/>
      <c r="D83" s="34"/>
      <c r="E83" s="34"/>
      <c r="F83" s="34"/>
      <c r="G83" s="34"/>
      <c r="H83" s="34"/>
      <c r="I83" s="34"/>
      <c r="J83" s="34"/>
      <c r="K83" s="34"/>
      <c r="L83" s="34"/>
      <c r="M83" s="35"/>
      <c r="N83" s="34"/>
      <c r="O83" s="34"/>
      <c r="P83" s="34"/>
    </row>
    <row r="84" spans="1:16" ht="30" customHeight="1">
      <c r="A84" s="34"/>
      <c r="B84" s="34"/>
      <c r="C84" s="34"/>
      <c r="D84" s="34"/>
      <c r="E84" s="34"/>
      <c r="F84" s="34"/>
      <c r="G84" s="34"/>
      <c r="H84" s="34"/>
      <c r="I84" s="34"/>
      <c r="J84" s="34"/>
      <c r="K84" s="34"/>
      <c r="L84" s="34"/>
      <c r="M84" s="35"/>
      <c r="N84" s="34"/>
      <c r="O84" s="34"/>
      <c r="P84" s="34"/>
    </row>
    <row r="85" spans="1:16" ht="30" customHeight="1">
      <c r="A85" s="34"/>
      <c r="B85" s="34"/>
      <c r="C85" s="34"/>
      <c r="D85" s="34"/>
      <c r="E85" s="34"/>
      <c r="F85" s="34"/>
      <c r="G85" s="34"/>
      <c r="H85" s="34"/>
      <c r="I85" s="34"/>
      <c r="J85" s="34"/>
      <c r="K85" s="34"/>
      <c r="L85" s="34"/>
      <c r="M85" s="35"/>
      <c r="N85" s="34"/>
      <c r="O85" s="34"/>
      <c r="P85" s="34"/>
    </row>
    <row r="86" spans="1:16" ht="30" customHeight="1">
      <c r="A86" s="34"/>
      <c r="B86" s="34"/>
      <c r="C86" s="34"/>
      <c r="D86" s="34"/>
      <c r="E86" s="34"/>
      <c r="F86" s="34"/>
      <c r="G86" s="34"/>
      <c r="H86" s="34"/>
      <c r="I86" s="34"/>
      <c r="J86" s="34"/>
      <c r="K86" s="34"/>
      <c r="L86" s="34"/>
      <c r="M86" s="35"/>
      <c r="N86" s="34"/>
      <c r="O86" s="34"/>
      <c r="P86" s="34"/>
    </row>
    <row r="87" spans="1:16" ht="30" customHeight="1">
      <c r="A87" s="34"/>
      <c r="B87" s="34"/>
      <c r="C87" s="34"/>
      <c r="D87" s="34"/>
      <c r="E87" s="34"/>
      <c r="F87" s="34"/>
      <c r="G87" s="34"/>
      <c r="H87" s="34"/>
      <c r="I87" s="34"/>
      <c r="J87" s="34"/>
      <c r="K87" s="34"/>
      <c r="L87" s="34"/>
      <c r="M87" s="35"/>
      <c r="N87" s="34"/>
      <c r="O87" s="34"/>
      <c r="P87" s="34"/>
    </row>
    <row r="88" spans="1:16" ht="30" customHeight="1">
      <c r="A88" s="34"/>
      <c r="B88" s="34"/>
      <c r="C88" s="34"/>
      <c r="D88" s="34"/>
      <c r="E88" s="34"/>
      <c r="F88" s="34"/>
      <c r="G88" s="34"/>
      <c r="H88" s="34"/>
      <c r="I88" s="34"/>
      <c r="J88" s="34"/>
      <c r="K88" s="34"/>
      <c r="L88" s="34"/>
      <c r="M88" s="35"/>
      <c r="N88" s="34"/>
      <c r="O88" s="34"/>
      <c r="P88" s="34"/>
    </row>
    <row r="89" spans="1:16" ht="30" customHeight="1">
      <c r="A89" s="34"/>
      <c r="B89" s="34"/>
      <c r="C89" s="34"/>
      <c r="D89" s="34"/>
      <c r="E89" s="34"/>
      <c r="F89" s="34"/>
      <c r="G89" s="34"/>
      <c r="H89" s="34"/>
      <c r="I89" s="34"/>
      <c r="J89" s="34"/>
      <c r="K89" s="34"/>
      <c r="L89" s="34"/>
      <c r="M89" s="35"/>
      <c r="N89" s="34"/>
      <c r="O89" s="34"/>
      <c r="P89" s="34"/>
    </row>
    <row r="90" spans="1:16" ht="30" customHeight="1">
      <c r="A90" s="34"/>
      <c r="B90" s="34"/>
      <c r="C90" s="34"/>
      <c r="D90" s="34"/>
      <c r="E90" s="34"/>
      <c r="F90" s="34"/>
      <c r="G90" s="34"/>
      <c r="H90" s="34"/>
      <c r="I90" s="34"/>
      <c r="J90" s="34"/>
      <c r="K90" s="34"/>
      <c r="L90" s="34"/>
      <c r="M90" s="35"/>
      <c r="N90" s="34"/>
      <c r="O90" s="34"/>
      <c r="P90" s="34"/>
    </row>
    <row r="91" spans="1:16" ht="30" customHeight="1">
      <c r="A91" s="34"/>
      <c r="B91" s="34"/>
      <c r="C91" s="34"/>
      <c r="D91" s="34"/>
      <c r="E91" s="34"/>
      <c r="F91" s="34"/>
      <c r="G91" s="34"/>
      <c r="H91" s="34"/>
      <c r="I91" s="34"/>
      <c r="J91" s="34"/>
      <c r="K91" s="34"/>
      <c r="L91" s="34"/>
      <c r="M91" s="35"/>
      <c r="N91" s="34"/>
      <c r="O91" s="34"/>
      <c r="P91" s="34"/>
    </row>
    <row r="92" spans="1:16" ht="30" customHeight="1">
      <c r="A92" s="34"/>
      <c r="B92" s="34"/>
      <c r="C92" s="34"/>
      <c r="D92" s="34"/>
      <c r="E92" s="34"/>
      <c r="F92" s="34"/>
      <c r="G92" s="34"/>
      <c r="H92" s="34"/>
      <c r="I92" s="34"/>
      <c r="J92" s="34"/>
      <c r="K92" s="34"/>
      <c r="L92" s="34"/>
      <c r="M92" s="35"/>
      <c r="N92" s="34"/>
      <c r="O92" s="34"/>
      <c r="P92" s="34"/>
    </row>
    <row r="93" spans="1:16" ht="30" customHeight="1">
      <c r="A93" s="34"/>
      <c r="B93" s="34"/>
      <c r="C93" s="34"/>
      <c r="D93" s="34"/>
      <c r="E93" s="34"/>
      <c r="F93" s="34"/>
      <c r="G93" s="34"/>
      <c r="H93" s="34"/>
      <c r="I93" s="34"/>
      <c r="J93" s="34"/>
      <c r="K93" s="34"/>
      <c r="L93" s="34"/>
      <c r="M93" s="35"/>
      <c r="N93" s="34"/>
      <c r="O93" s="34"/>
      <c r="P93" s="34"/>
    </row>
    <row r="94" spans="1:16" ht="30" customHeight="1">
      <c r="A94" s="34"/>
      <c r="B94" s="34"/>
      <c r="C94" s="34"/>
      <c r="D94" s="34"/>
      <c r="E94" s="34"/>
      <c r="F94" s="34"/>
      <c r="G94" s="34"/>
      <c r="H94" s="34"/>
      <c r="I94" s="34"/>
      <c r="J94" s="34"/>
      <c r="K94" s="34"/>
      <c r="L94" s="34"/>
      <c r="M94" s="35"/>
      <c r="N94" s="34"/>
      <c r="O94" s="34"/>
      <c r="P94" s="34"/>
    </row>
    <row r="95" spans="1:16" ht="30" customHeight="1">
      <c r="A95" s="34"/>
      <c r="B95" s="34"/>
      <c r="C95" s="34"/>
      <c r="D95" s="34"/>
      <c r="E95" s="34"/>
      <c r="F95" s="34"/>
      <c r="G95" s="34"/>
      <c r="H95" s="34"/>
      <c r="I95" s="34"/>
      <c r="J95" s="34"/>
      <c r="K95" s="34"/>
      <c r="L95" s="34"/>
      <c r="M95" s="35"/>
      <c r="N95" s="34"/>
      <c r="O95" s="34"/>
      <c r="P95" s="34"/>
    </row>
    <row r="96" spans="1:16" ht="30" customHeight="1">
      <c r="A96" s="34"/>
      <c r="B96" s="34"/>
      <c r="C96" s="34"/>
      <c r="D96" s="34"/>
      <c r="E96" s="34"/>
      <c r="F96" s="34"/>
      <c r="G96" s="34"/>
      <c r="H96" s="34"/>
      <c r="I96" s="34"/>
      <c r="J96" s="34"/>
      <c r="K96" s="34"/>
      <c r="L96" s="34"/>
      <c r="M96" s="35"/>
      <c r="N96" s="34"/>
      <c r="O96" s="34"/>
      <c r="P96" s="34"/>
    </row>
    <row r="97" spans="1:16" ht="30" customHeight="1">
      <c r="A97" s="34"/>
      <c r="B97" s="34"/>
      <c r="C97" s="34"/>
      <c r="D97" s="34"/>
      <c r="E97" s="34"/>
      <c r="F97" s="34"/>
      <c r="G97" s="34"/>
      <c r="H97" s="34"/>
      <c r="I97" s="34"/>
      <c r="J97" s="34"/>
      <c r="K97" s="34"/>
      <c r="L97" s="34"/>
      <c r="M97" s="35"/>
      <c r="N97" s="34"/>
      <c r="O97" s="34"/>
      <c r="P97" s="34"/>
    </row>
    <row r="98" spans="1:16" ht="30" customHeight="1">
      <c r="A98" s="34"/>
      <c r="B98" s="34"/>
      <c r="C98" s="34"/>
      <c r="D98" s="34"/>
      <c r="E98" s="34"/>
      <c r="F98" s="34"/>
      <c r="G98" s="34"/>
      <c r="H98" s="34"/>
      <c r="I98" s="34"/>
      <c r="J98" s="34"/>
      <c r="K98" s="34"/>
      <c r="L98" s="34"/>
      <c r="M98" s="35"/>
      <c r="N98" s="34"/>
      <c r="O98" s="34"/>
      <c r="P98" s="34"/>
    </row>
    <row r="99" spans="1:16" ht="30" customHeight="1">
      <c r="A99" s="34"/>
      <c r="B99" s="34"/>
      <c r="C99" s="34"/>
      <c r="D99" s="34"/>
      <c r="E99" s="34"/>
      <c r="F99" s="34"/>
      <c r="G99" s="34"/>
      <c r="H99" s="34"/>
      <c r="I99" s="34"/>
      <c r="J99" s="34"/>
      <c r="K99" s="34"/>
      <c r="L99" s="34"/>
      <c r="M99" s="35"/>
      <c r="N99" s="34"/>
      <c r="O99" s="34"/>
      <c r="P99" s="34"/>
    </row>
    <row r="100" spans="1:16" ht="30" customHeight="1">
      <c r="A100" s="34"/>
      <c r="B100" s="34"/>
      <c r="C100" s="34"/>
      <c r="D100" s="34"/>
      <c r="E100" s="34"/>
      <c r="F100" s="34"/>
      <c r="G100" s="34"/>
      <c r="H100" s="34"/>
      <c r="I100" s="34"/>
      <c r="J100" s="34"/>
      <c r="K100" s="34"/>
      <c r="L100" s="34"/>
      <c r="M100" s="35"/>
      <c r="N100" s="34"/>
      <c r="O100" s="34"/>
      <c r="P100" s="34"/>
    </row>
    <row r="101" spans="1:16" ht="30" customHeight="1">
      <c r="A101" s="34"/>
      <c r="B101" s="34"/>
      <c r="C101" s="34"/>
      <c r="D101" s="34"/>
      <c r="E101" s="34"/>
      <c r="F101" s="34"/>
      <c r="G101" s="34"/>
      <c r="H101" s="34"/>
      <c r="I101" s="34"/>
      <c r="J101" s="34"/>
      <c r="K101" s="34"/>
      <c r="L101" s="34"/>
      <c r="M101" s="35"/>
      <c r="N101" s="34"/>
      <c r="O101" s="34"/>
      <c r="P101" s="34"/>
    </row>
    <row r="102" spans="1:16" ht="30" customHeight="1">
      <c r="A102" s="34"/>
      <c r="B102" s="34"/>
      <c r="C102" s="34"/>
      <c r="D102" s="34"/>
      <c r="E102" s="34"/>
      <c r="F102" s="34"/>
      <c r="G102" s="34"/>
      <c r="H102" s="34"/>
      <c r="I102" s="34"/>
      <c r="J102" s="34"/>
      <c r="K102" s="34"/>
      <c r="L102" s="34"/>
      <c r="M102" s="35"/>
      <c r="N102" s="34"/>
      <c r="O102" s="34"/>
      <c r="P102" s="34"/>
    </row>
    <row r="103" spans="1:16" ht="30" customHeight="1">
      <c r="A103" s="34"/>
      <c r="B103" s="34"/>
      <c r="C103" s="34"/>
      <c r="D103" s="34"/>
      <c r="E103" s="34"/>
      <c r="F103" s="34"/>
      <c r="G103" s="34"/>
      <c r="H103" s="34"/>
      <c r="I103" s="34"/>
      <c r="J103" s="34"/>
      <c r="K103" s="34"/>
      <c r="L103" s="34"/>
      <c r="M103" s="35"/>
      <c r="N103" s="34"/>
      <c r="O103" s="34"/>
      <c r="P103" s="34"/>
    </row>
    <row r="104" spans="1:16" ht="30" customHeight="1">
      <c r="A104" s="34"/>
      <c r="B104" s="34"/>
      <c r="C104" s="34"/>
      <c r="D104" s="34"/>
      <c r="E104" s="34"/>
      <c r="F104" s="34"/>
      <c r="G104" s="34"/>
      <c r="H104" s="34"/>
      <c r="I104" s="34"/>
      <c r="J104" s="34"/>
      <c r="K104" s="34"/>
      <c r="L104" s="34"/>
      <c r="M104" s="35"/>
      <c r="N104" s="34"/>
      <c r="O104" s="34"/>
      <c r="P104" s="34"/>
    </row>
    <row r="105" spans="1:16" ht="30" customHeight="1">
      <c r="A105" s="34"/>
      <c r="B105" s="34"/>
      <c r="C105" s="34"/>
      <c r="D105" s="34"/>
      <c r="E105" s="34"/>
      <c r="F105" s="34"/>
      <c r="G105" s="34"/>
      <c r="H105" s="34"/>
      <c r="I105" s="34"/>
      <c r="J105" s="34"/>
      <c r="K105" s="34"/>
      <c r="L105" s="34"/>
      <c r="M105" s="35"/>
      <c r="N105" s="34"/>
      <c r="O105" s="34"/>
      <c r="P105" s="34"/>
    </row>
    <row r="106" spans="1:16" ht="30" customHeight="1">
      <c r="A106" s="34"/>
      <c r="B106" s="34"/>
      <c r="C106" s="34"/>
      <c r="D106" s="34"/>
      <c r="E106" s="34"/>
      <c r="F106" s="34"/>
      <c r="G106" s="34"/>
      <c r="H106" s="34"/>
      <c r="I106" s="34"/>
      <c r="J106" s="34"/>
      <c r="K106" s="34"/>
      <c r="L106" s="34"/>
      <c r="M106" s="35"/>
      <c r="N106" s="34"/>
      <c r="O106" s="34"/>
      <c r="P106" s="34"/>
    </row>
    <row r="107" spans="1:16" ht="30" customHeight="1">
      <c r="A107" s="34"/>
      <c r="B107" s="34"/>
      <c r="C107" s="34"/>
      <c r="D107" s="34"/>
      <c r="E107" s="34"/>
      <c r="F107" s="34"/>
      <c r="G107" s="34"/>
      <c r="H107" s="34"/>
      <c r="I107" s="34"/>
      <c r="J107" s="34"/>
      <c r="K107" s="34"/>
      <c r="L107" s="34"/>
      <c r="M107" s="35"/>
      <c r="N107" s="34"/>
      <c r="O107" s="34"/>
      <c r="P107" s="34"/>
    </row>
    <row r="108" spans="1:16" ht="30" customHeight="1">
      <c r="A108" s="34"/>
      <c r="B108" s="34"/>
      <c r="C108" s="34"/>
      <c r="D108" s="34"/>
      <c r="E108" s="34"/>
      <c r="F108" s="34"/>
      <c r="G108" s="34"/>
      <c r="H108" s="34"/>
      <c r="I108" s="34"/>
      <c r="J108" s="34"/>
      <c r="K108" s="34"/>
      <c r="L108" s="34"/>
      <c r="M108" s="35"/>
      <c r="N108" s="34"/>
      <c r="O108" s="34"/>
      <c r="P108" s="34"/>
    </row>
    <row r="109" spans="1:16" ht="30" customHeight="1">
      <c r="A109" s="34"/>
      <c r="B109" s="34"/>
      <c r="C109" s="34"/>
      <c r="D109" s="34"/>
      <c r="E109" s="34"/>
      <c r="F109" s="34"/>
      <c r="G109" s="34"/>
      <c r="H109" s="34"/>
      <c r="I109" s="34"/>
      <c r="J109" s="34"/>
      <c r="K109" s="34"/>
      <c r="L109" s="34"/>
      <c r="M109" s="35"/>
      <c r="N109" s="34"/>
      <c r="O109" s="34"/>
      <c r="P109" s="34"/>
    </row>
    <row r="110" spans="1:16" ht="30" customHeight="1">
      <c r="A110" s="34"/>
      <c r="B110" s="34"/>
      <c r="C110" s="34"/>
      <c r="D110" s="34"/>
      <c r="E110" s="34"/>
      <c r="F110" s="34"/>
      <c r="G110" s="34"/>
      <c r="H110" s="34"/>
      <c r="I110" s="34"/>
      <c r="J110" s="34"/>
      <c r="K110" s="34"/>
      <c r="L110" s="34"/>
      <c r="M110" s="35"/>
      <c r="N110" s="34"/>
      <c r="O110" s="34"/>
      <c r="P110" s="34"/>
    </row>
    <row r="111" spans="1:16" ht="30" customHeight="1">
      <c r="A111" s="34"/>
      <c r="B111" s="34"/>
      <c r="C111" s="34"/>
      <c r="D111" s="34"/>
      <c r="E111" s="34"/>
      <c r="F111" s="34"/>
      <c r="G111" s="34"/>
      <c r="H111" s="34"/>
      <c r="I111" s="34"/>
      <c r="J111" s="34"/>
      <c r="K111" s="34"/>
      <c r="L111" s="34"/>
      <c r="M111" s="35"/>
      <c r="N111" s="34"/>
      <c r="O111" s="34"/>
      <c r="P111" s="34"/>
    </row>
    <row r="112" spans="1:16" ht="30" customHeight="1">
      <c r="A112" s="34"/>
      <c r="B112" s="34"/>
      <c r="C112" s="34"/>
      <c r="D112" s="34"/>
      <c r="E112" s="34"/>
      <c r="F112" s="34"/>
      <c r="G112" s="34"/>
      <c r="H112" s="34"/>
      <c r="I112" s="34"/>
      <c r="J112" s="34"/>
      <c r="K112" s="34"/>
      <c r="L112" s="34"/>
      <c r="M112" s="35"/>
      <c r="N112" s="34"/>
      <c r="O112" s="34"/>
      <c r="P112" s="34"/>
    </row>
    <row r="113" spans="1:16" ht="30" customHeight="1">
      <c r="A113" s="34"/>
      <c r="B113" s="34"/>
      <c r="C113" s="34"/>
      <c r="D113" s="34"/>
      <c r="E113" s="34"/>
      <c r="F113" s="34"/>
      <c r="G113" s="34"/>
      <c r="H113" s="34"/>
      <c r="I113" s="34"/>
      <c r="J113" s="34"/>
      <c r="K113" s="34"/>
      <c r="L113" s="34"/>
      <c r="M113" s="35"/>
      <c r="N113" s="34"/>
      <c r="O113" s="34"/>
      <c r="P113" s="34"/>
    </row>
    <row r="114" spans="1:16" ht="30" customHeight="1">
      <c r="A114" s="34"/>
      <c r="B114" s="34"/>
      <c r="C114" s="34"/>
      <c r="D114" s="34"/>
      <c r="E114" s="34"/>
      <c r="F114" s="34"/>
      <c r="G114" s="34"/>
      <c r="H114" s="34"/>
      <c r="I114" s="34"/>
      <c r="J114" s="34"/>
      <c r="K114" s="34"/>
      <c r="L114" s="34"/>
      <c r="M114" s="35"/>
      <c r="N114" s="34"/>
      <c r="O114" s="34"/>
      <c r="P114" s="34"/>
    </row>
    <row r="115" spans="1:16" ht="30" customHeight="1">
      <c r="A115" s="34"/>
      <c r="B115" s="34"/>
      <c r="C115" s="34"/>
      <c r="D115" s="34"/>
      <c r="E115" s="34"/>
      <c r="F115" s="34"/>
      <c r="G115" s="34"/>
      <c r="H115" s="34"/>
      <c r="I115" s="34"/>
      <c r="J115" s="34"/>
      <c r="K115" s="34"/>
      <c r="L115" s="34"/>
      <c r="M115" s="35"/>
      <c r="N115" s="34"/>
      <c r="O115" s="34"/>
      <c r="P115" s="34"/>
    </row>
    <row r="116" spans="1:16" ht="30" customHeight="1">
      <c r="A116" s="34"/>
      <c r="B116" s="34"/>
      <c r="C116" s="34"/>
      <c r="D116" s="34"/>
      <c r="E116" s="34"/>
      <c r="F116" s="34"/>
      <c r="G116" s="34"/>
      <c r="H116" s="34"/>
      <c r="I116" s="34"/>
      <c r="J116" s="34"/>
      <c r="K116" s="34"/>
      <c r="L116" s="34"/>
      <c r="M116" s="35"/>
      <c r="N116" s="34"/>
      <c r="O116" s="34"/>
      <c r="P116" s="34"/>
    </row>
    <row r="117" spans="1:16" ht="30" customHeight="1">
      <c r="A117" s="34"/>
      <c r="B117" s="34"/>
      <c r="C117" s="34"/>
      <c r="D117" s="34"/>
      <c r="E117" s="34"/>
      <c r="F117" s="34"/>
      <c r="G117" s="34"/>
      <c r="H117" s="34"/>
      <c r="I117" s="34"/>
      <c r="J117" s="34"/>
      <c r="K117" s="34"/>
      <c r="L117" s="34"/>
      <c r="M117" s="35"/>
      <c r="N117" s="34"/>
      <c r="O117" s="34"/>
      <c r="P117" s="34"/>
    </row>
    <row r="118" spans="1:16" ht="30" customHeight="1">
      <c r="A118" s="34"/>
      <c r="B118" s="34"/>
      <c r="C118" s="34"/>
      <c r="D118" s="34"/>
      <c r="E118" s="34"/>
      <c r="F118" s="34"/>
      <c r="G118" s="34"/>
      <c r="H118" s="34"/>
      <c r="I118" s="34"/>
      <c r="J118" s="34"/>
      <c r="K118" s="34"/>
      <c r="L118" s="34"/>
      <c r="M118" s="35"/>
      <c r="N118" s="34"/>
      <c r="O118" s="34"/>
      <c r="P118" s="34"/>
    </row>
    <row r="119" spans="1:16" ht="30" customHeight="1">
      <c r="A119" s="34"/>
      <c r="B119" s="34"/>
      <c r="C119" s="34"/>
      <c r="D119" s="34"/>
      <c r="E119" s="34"/>
      <c r="F119" s="34"/>
      <c r="G119" s="34"/>
      <c r="H119" s="34"/>
      <c r="I119" s="34"/>
      <c r="J119" s="34"/>
      <c r="K119" s="34"/>
      <c r="L119" s="34"/>
      <c r="M119" s="35"/>
      <c r="N119" s="34"/>
      <c r="O119" s="34"/>
      <c r="P119" s="34"/>
    </row>
    <row r="120" spans="1:16" ht="30" customHeight="1">
      <c r="A120" s="34"/>
      <c r="B120" s="34"/>
      <c r="C120" s="34"/>
      <c r="D120" s="34"/>
      <c r="E120" s="34"/>
      <c r="F120" s="34"/>
      <c r="G120" s="34"/>
      <c r="H120" s="34"/>
      <c r="I120" s="34"/>
      <c r="J120" s="34"/>
      <c r="K120" s="34"/>
      <c r="L120" s="34"/>
      <c r="M120" s="35"/>
      <c r="N120" s="34"/>
      <c r="O120" s="34"/>
      <c r="P120" s="34"/>
    </row>
    <row r="121" spans="1:16" ht="30" customHeight="1">
      <c r="A121" s="34"/>
      <c r="B121" s="34"/>
      <c r="C121" s="34"/>
      <c r="D121" s="34"/>
      <c r="E121" s="34"/>
      <c r="F121" s="34"/>
      <c r="G121" s="34"/>
      <c r="H121" s="34"/>
      <c r="I121" s="34"/>
      <c r="J121" s="34"/>
      <c r="K121" s="34"/>
      <c r="L121" s="34"/>
      <c r="M121" s="35"/>
      <c r="N121" s="34"/>
      <c r="O121" s="34"/>
      <c r="P121" s="34"/>
    </row>
    <row r="122" spans="1:16" ht="30" customHeight="1">
      <c r="A122" s="34"/>
      <c r="B122" s="34"/>
      <c r="C122" s="34"/>
      <c r="D122" s="34"/>
      <c r="E122" s="34"/>
      <c r="F122" s="34"/>
      <c r="G122" s="34"/>
      <c r="H122" s="34"/>
      <c r="I122" s="34"/>
      <c r="J122" s="34"/>
      <c r="K122" s="34"/>
      <c r="L122" s="34"/>
      <c r="M122" s="35"/>
      <c r="N122" s="34"/>
      <c r="O122" s="34"/>
      <c r="P122" s="34"/>
    </row>
    <row r="123" spans="1:16" ht="30" customHeight="1">
      <c r="A123" s="34"/>
      <c r="B123" s="34"/>
      <c r="C123" s="34"/>
      <c r="D123" s="34"/>
      <c r="E123" s="34"/>
      <c r="F123" s="34"/>
      <c r="G123" s="34"/>
      <c r="H123" s="34"/>
      <c r="I123" s="34"/>
      <c r="J123" s="34"/>
      <c r="K123" s="34"/>
      <c r="L123" s="34"/>
      <c r="M123" s="35"/>
      <c r="N123" s="34"/>
      <c r="O123" s="34"/>
      <c r="P123" s="34"/>
    </row>
    <row r="124" spans="1:16" ht="30" customHeight="1">
      <c r="A124" s="34"/>
      <c r="B124" s="34"/>
      <c r="C124" s="34"/>
      <c r="D124" s="34"/>
      <c r="E124" s="34"/>
      <c r="F124" s="34"/>
      <c r="G124" s="34"/>
      <c r="H124" s="34"/>
      <c r="I124" s="34"/>
      <c r="J124" s="34"/>
      <c r="K124" s="34"/>
      <c r="L124" s="34"/>
      <c r="M124" s="35"/>
      <c r="N124" s="34"/>
      <c r="O124" s="34"/>
      <c r="P124" s="34"/>
    </row>
    <row r="125" spans="1:16" ht="30" customHeight="1">
      <c r="A125" s="34"/>
      <c r="B125" s="34"/>
      <c r="C125" s="34"/>
      <c r="D125" s="34"/>
      <c r="E125" s="34"/>
      <c r="F125" s="34"/>
      <c r="G125" s="34"/>
      <c r="H125" s="34"/>
      <c r="I125" s="34"/>
      <c r="J125" s="34"/>
      <c r="K125" s="34"/>
      <c r="L125" s="34"/>
      <c r="M125" s="35"/>
      <c r="N125" s="34"/>
      <c r="O125" s="34"/>
      <c r="P125" s="34"/>
    </row>
    <row r="126" spans="1:16" ht="30" customHeight="1">
      <c r="A126" s="34"/>
      <c r="B126" s="34"/>
      <c r="C126" s="34"/>
      <c r="D126" s="34"/>
      <c r="E126" s="34"/>
      <c r="F126" s="34"/>
      <c r="G126" s="34"/>
      <c r="H126" s="34"/>
      <c r="I126" s="34"/>
      <c r="J126" s="34"/>
      <c r="K126" s="34"/>
      <c r="L126" s="34"/>
      <c r="M126" s="35"/>
      <c r="N126" s="34"/>
      <c r="O126" s="34"/>
      <c r="P126" s="34"/>
    </row>
    <row r="127" spans="1:16" ht="30" customHeight="1">
      <c r="A127" s="34"/>
      <c r="B127" s="34"/>
      <c r="C127" s="34"/>
      <c r="D127" s="34"/>
      <c r="E127" s="34"/>
      <c r="F127" s="34"/>
      <c r="G127" s="34"/>
      <c r="H127" s="34"/>
      <c r="I127" s="34"/>
      <c r="J127" s="34"/>
      <c r="K127" s="34"/>
      <c r="L127" s="34"/>
      <c r="M127" s="35"/>
      <c r="N127" s="34"/>
      <c r="O127" s="34"/>
      <c r="P127" s="34"/>
    </row>
    <row r="128" spans="1:16" ht="30" customHeight="1">
      <c r="A128" s="34"/>
      <c r="B128" s="34"/>
      <c r="C128" s="34"/>
      <c r="D128" s="34"/>
      <c r="E128" s="34"/>
      <c r="F128" s="34"/>
      <c r="G128" s="34"/>
      <c r="H128" s="34"/>
      <c r="I128" s="34"/>
      <c r="J128" s="34"/>
      <c r="K128" s="34"/>
      <c r="L128" s="34"/>
      <c r="M128" s="35"/>
      <c r="N128" s="34"/>
      <c r="O128" s="34"/>
      <c r="P128" s="34"/>
    </row>
    <row r="129" spans="1:16" ht="30" customHeight="1">
      <c r="A129" s="34"/>
      <c r="B129" s="34"/>
      <c r="C129" s="34"/>
      <c r="D129" s="34"/>
      <c r="E129" s="34"/>
      <c r="F129" s="34"/>
      <c r="G129" s="34"/>
      <c r="H129" s="34"/>
      <c r="I129" s="34"/>
      <c r="J129" s="34"/>
      <c r="K129" s="34"/>
      <c r="L129" s="34"/>
      <c r="M129" s="35"/>
      <c r="N129" s="34"/>
      <c r="O129" s="34"/>
      <c r="P129" s="34"/>
    </row>
    <row r="130" spans="1:16" ht="30" customHeight="1">
      <c r="A130" s="34"/>
      <c r="B130" s="34"/>
      <c r="C130" s="34"/>
      <c r="D130" s="34"/>
      <c r="E130" s="34"/>
      <c r="F130" s="34"/>
      <c r="G130" s="34"/>
      <c r="H130" s="34"/>
      <c r="I130" s="34"/>
      <c r="J130" s="34"/>
      <c r="K130" s="34"/>
      <c r="L130" s="34"/>
      <c r="M130" s="35"/>
      <c r="N130" s="34"/>
      <c r="O130" s="34"/>
      <c r="P130" s="34"/>
    </row>
    <row r="131" spans="1:16" ht="30" customHeight="1">
      <c r="A131" s="34"/>
      <c r="B131" s="34"/>
      <c r="C131" s="34"/>
      <c r="D131" s="34"/>
      <c r="E131" s="34"/>
      <c r="F131" s="34"/>
      <c r="G131" s="34"/>
      <c r="H131" s="34"/>
      <c r="I131" s="34"/>
      <c r="J131" s="34"/>
      <c r="K131" s="34"/>
      <c r="L131" s="34"/>
      <c r="M131" s="35"/>
      <c r="N131" s="34"/>
      <c r="O131" s="34"/>
      <c r="P131" s="34"/>
    </row>
    <row r="132" spans="1:16" ht="30" customHeight="1">
      <c r="A132" s="34"/>
      <c r="B132" s="34"/>
      <c r="C132" s="34"/>
      <c r="D132" s="34"/>
      <c r="E132" s="34"/>
      <c r="F132" s="34"/>
      <c r="G132" s="34"/>
      <c r="H132" s="34"/>
      <c r="I132" s="34"/>
      <c r="J132" s="34"/>
      <c r="K132" s="34"/>
      <c r="L132" s="34"/>
      <c r="M132" s="35"/>
      <c r="N132" s="34"/>
      <c r="O132" s="34"/>
      <c r="P132" s="34"/>
    </row>
    <row r="133" spans="1:16" ht="30" customHeight="1">
      <c r="A133" s="34"/>
      <c r="B133" s="34"/>
      <c r="C133" s="34"/>
      <c r="D133" s="34"/>
      <c r="E133" s="34"/>
      <c r="F133" s="34"/>
      <c r="G133" s="34"/>
      <c r="H133" s="34"/>
      <c r="I133" s="34"/>
      <c r="J133" s="34"/>
      <c r="K133" s="34"/>
      <c r="L133" s="34"/>
      <c r="M133" s="35"/>
      <c r="N133" s="34"/>
      <c r="O133" s="34"/>
      <c r="P133" s="34"/>
    </row>
    <row r="134" spans="1:16" ht="30" customHeight="1">
      <c r="A134" s="34"/>
      <c r="B134" s="34"/>
      <c r="C134" s="34"/>
      <c r="D134" s="34"/>
      <c r="E134" s="34"/>
      <c r="F134" s="34"/>
      <c r="G134" s="34"/>
      <c r="H134" s="34"/>
      <c r="I134" s="34"/>
      <c r="J134" s="34"/>
      <c r="K134" s="34"/>
      <c r="L134" s="34"/>
      <c r="M134" s="35"/>
      <c r="N134" s="34"/>
      <c r="O134" s="34"/>
      <c r="P134" s="34"/>
    </row>
    <row r="135" spans="1:16" ht="30" customHeight="1">
      <c r="A135" s="34"/>
      <c r="B135" s="34"/>
      <c r="C135" s="34"/>
      <c r="D135" s="34"/>
      <c r="E135" s="34"/>
      <c r="F135" s="34"/>
      <c r="G135" s="34"/>
      <c r="H135" s="34"/>
      <c r="I135" s="34"/>
      <c r="J135" s="34"/>
      <c r="K135" s="34"/>
      <c r="L135" s="34"/>
      <c r="M135" s="35"/>
      <c r="N135" s="34"/>
      <c r="O135" s="34"/>
      <c r="P135" s="34"/>
    </row>
    <row r="136" spans="1:16" ht="30" customHeight="1">
      <c r="A136" s="34"/>
      <c r="B136" s="34"/>
      <c r="C136" s="34"/>
      <c r="D136" s="34"/>
      <c r="E136" s="34"/>
      <c r="F136" s="34"/>
      <c r="G136" s="34"/>
      <c r="H136" s="34"/>
      <c r="I136" s="34"/>
      <c r="J136" s="34"/>
      <c r="K136" s="34"/>
      <c r="L136" s="34"/>
      <c r="M136" s="35"/>
      <c r="N136" s="34"/>
      <c r="O136" s="34"/>
      <c r="P136" s="34"/>
    </row>
    <row r="137" spans="1:16" ht="30" customHeight="1">
      <c r="A137" s="34"/>
      <c r="B137" s="34"/>
      <c r="C137" s="34"/>
      <c r="D137" s="34"/>
      <c r="E137" s="34"/>
      <c r="F137" s="34"/>
      <c r="G137" s="34"/>
      <c r="H137" s="34"/>
      <c r="I137" s="34"/>
      <c r="J137" s="34"/>
      <c r="K137" s="34"/>
      <c r="L137" s="34"/>
      <c r="M137" s="35"/>
      <c r="N137" s="34"/>
      <c r="O137" s="34"/>
      <c r="P137" s="34"/>
    </row>
    <row r="138" spans="1:16" ht="30" customHeight="1">
      <c r="A138" s="34"/>
      <c r="B138" s="34"/>
      <c r="C138" s="34"/>
      <c r="D138" s="34"/>
      <c r="E138" s="34"/>
      <c r="F138" s="34"/>
      <c r="G138" s="34"/>
      <c r="H138" s="34"/>
      <c r="I138" s="34"/>
      <c r="J138" s="34"/>
      <c r="K138" s="34"/>
      <c r="L138" s="34"/>
      <c r="M138" s="35"/>
      <c r="N138" s="34"/>
      <c r="O138" s="34"/>
      <c r="P138" s="34"/>
    </row>
    <row r="139" spans="1:16" ht="30" customHeight="1">
      <c r="A139" s="34"/>
      <c r="B139" s="34"/>
      <c r="C139" s="34"/>
      <c r="D139" s="34"/>
      <c r="E139" s="34"/>
      <c r="F139" s="34"/>
      <c r="G139" s="34"/>
      <c r="H139" s="34"/>
      <c r="I139" s="34"/>
      <c r="J139" s="34"/>
      <c r="K139" s="34"/>
      <c r="L139" s="34"/>
      <c r="M139" s="35"/>
      <c r="N139" s="34"/>
      <c r="O139" s="34"/>
      <c r="P139" s="34"/>
    </row>
    <row r="140" spans="1:16" ht="30" customHeight="1">
      <c r="A140" s="34"/>
      <c r="B140" s="34"/>
      <c r="C140" s="34"/>
      <c r="D140" s="34"/>
      <c r="E140" s="34"/>
      <c r="F140" s="34"/>
      <c r="G140" s="34"/>
      <c r="H140" s="34"/>
      <c r="I140" s="34"/>
      <c r="J140" s="34"/>
      <c r="K140" s="34"/>
      <c r="L140" s="34"/>
      <c r="M140" s="35"/>
      <c r="N140" s="34"/>
      <c r="O140" s="34"/>
      <c r="P140" s="34"/>
    </row>
    <row r="141" spans="1:16" ht="30" customHeight="1">
      <c r="A141" s="34"/>
      <c r="B141" s="34"/>
      <c r="C141" s="34"/>
      <c r="D141" s="34"/>
      <c r="E141" s="34"/>
      <c r="F141" s="34"/>
      <c r="G141" s="34"/>
      <c r="H141" s="34"/>
      <c r="I141" s="34"/>
      <c r="J141" s="34"/>
      <c r="K141" s="34"/>
      <c r="L141" s="34"/>
      <c r="M141" s="35"/>
      <c r="N141" s="34"/>
      <c r="O141" s="34"/>
      <c r="P141" s="34"/>
    </row>
    <row r="142" spans="1:16" ht="30" customHeight="1">
      <c r="A142" s="34"/>
      <c r="B142" s="34"/>
      <c r="C142" s="34"/>
      <c r="D142" s="34"/>
      <c r="E142" s="34"/>
      <c r="F142" s="34"/>
      <c r="G142" s="34"/>
      <c r="H142" s="34"/>
      <c r="I142" s="34"/>
      <c r="J142" s="34"/>
      <c r="K142" s="34"/>
      <c r="L142" s="34"/>
      <c r="M142" s="35"/>
      <c r="N142" s="34"/>
      <c r="O142" s="34"/>
      <c r="P142" s="34"/>
    </row>
    <row r="143" spans="1:16" ht="30" customHeight="1">
      <c r="A143" s="34"/>
      <c r="B143" s="34"/>
      <c r="C143" s="34"/>
      <c r="D143" s="34"/>
      <c r="E143" s="34"/>
      <c r="F143" s="34"/>
      <c r="G143" s="34"/>
      <c r="H143" s="34"/>
      <c r="I143" s="34"/>
      <c r="J143" s="34"/>
      <c r="K143" s="34"/>
      <c r="L143" s="34"/>
      <c r="M143" s="35"/>
      <c r="N143" s="34"/>
      <c r="O143" s="34"/>
      <c r="P143" s="34"/>
    </row>
    <row r="144" spans="1:16" ht="30" customHeight="1">
      <c r="A144" s="34"/>
      <c r="B144" s="34"/>
      <c r="C144" s="34"/>
      <c r="D144" s="34"/>
      <c r="E144" s="34"/>
      <c r="F144" s="34"/>
      <c r="G144" s="34"/>
      <c r="H144" s="34"/>
      <c r="I144" s="34"/>
      <c r="J144" s="34"/>
      <c r="K144" s="34"/>
      <c r="L144" s="34"/>
      <c r="M144" s="35"/>
      <c r="N144" s="34"/>
      <c r="O144" s="34"/>
      <c r="P144" s="34"/>
    </row>
    <row r="145" spans="1:16" ht="30" customHeight="1">
      <c r="A145" s="34"/>
      <c r="B145" s="34"/>
      <c r="C145" s="34"/>
      <c r="D145" s="34"/>
      <c r="E145" s="34"/>
      <c r="F145" s="34"/>
      <c r="G145" s="34"/>
      <c r="H145" s="34"/>
      <c r="I145" s="34"/>
      <c r="J145" s="34"/>
      <c r="K145" s="34"/>
      <c r="L145" s="34"/>
      <c r="M145" s="35"/>
      <c r="N145" s="34"/>
      <c r="O145" s="34"/>
      <c r="P145" s="34"/>
    </row>
    <row r="146" spans="1:16" ht="30" customHeight="1">
      <c r="A146" s="34"/>
      <c r="B146" s="34"/>
      <c r="C146" s="34"/>
      <c r="D146" s="34"/>
      <c r="E146" s="34"/>
      <c r="F146" s="34"/>
      <c r="G146" s="34"/>
      <c r="H146" s="34"/>
      <c r="I146" s="34"/>
      <c r="J146" s="34"/>
      <c r="K146" s="34"/>
      <c r="L146" s="34"/>
      <c r="M146" s="35"/>
      <c r="N146" s="34"/>
      <c r="O146" s="34"/>
      <c r="P146" s="34"/>
    </row>
    <row r="147" spans="1:16" ht="30" customHeight="1">
      <c r="A147" s="34"/>
      <c r="B147" s="34"/>
      <c r="C147" s="34"/>
      <c r="D147" s="34"/>
      <c r="E147" s="34"/>
      <c r="F147" s="34"/>
      <c r="G147" s="34"/>
      <c r="H147" s="34"/>
      <c r="I147" s="34"/>
      <c r="J147" s="34"/>
      <c r="K147" s="34"/>
      <c r="L147" s="34"/>
      <c r="M147" s="35"/>
      <c r="N147" s="34"/>
      <c r="O147" s="34"/>
      <c r="P147" s="34"/>
    </row>
    <row r="148" spans="1:16" ht="30" customHeight="1">
      <c r="A148" s="34"/>
      <c r="B148" s="34"/>
      <c r="C148" s="34"/>
      <c r="D148" s="34"/>
      <c r="E148" s="34"/>
      <c r="F148" s="34"/>
      <c r="G148" s="34"/>
      <c r="H148" s="34"/>
      <c r="I148" s="34"/>
      <c r="J148" s="34"/>
      <c r="K148" s="34"/>
      <c r="L148" s="34"/>
      <c r="M148" s="35"/>
      <c r="N148" s="34"/>
      <c r="O148" s="34"/>
      <c r="P148" s="34"/>
    </row>
    <row r="149" spans="1:16" ht="30" customHeight="1">
      <c r="A149" s="34"/>
      <c r="B149" s="34"/>
      <c r="C149" s="34"/>
      <c r="D149" s="34"/>
      <c r="E149" s="34"/>
      <c r="F149" s="34"/>
      <c r="G149" s="34"/>
      <c r="H149" s="34"/>
      <c r="I149" s="34"/>
      <c r="J149" s="34"/>
      <c r="K149" s="34"/>
      <c r="L149" s="34"/>
      <c r="M149" s="35"/>
      <c r="N149" s="34"/>
      <c r="O149" s="34"/>
      <c r="P149" s="34"/>
    </row>
    <row r="150" spans="1:16" ht="30" customHeight="1">
      <c r="A150" s="34"/>
      <c r="B150" s="34"/>
      <c r="C150" s="34"/>
      <c r="D150" s="34"/>
      <c r="E150" s="34"/>
      <c r="F150" s="34"/>
      <c r="G150" s="34"/>
      <c r="H150" s="34"/>
      <c r="I150" s="34"/>
      <c r="J150" s="34"/>
      <c r="K150" s="34"/>
      <c r="L150" s="34"/>
      <c r="M150" s="35"/>
      <c r="N150" s="34"/>
      <c r="O150" s="34"/>
      <c r="P150" s="34"/>
    </row>
    <row r="151" spans="1:16" ht="30" customHeight="1">
      <c r="A151" s="34"/>
      <c r="B151" s="34"/>
      <c r="C151" s="34"/>
      <c r="D151" s="34"/>
      <c r="E151" s="34"/>
      <c r="F151" s="34"/>
      <c r="G151" s="34"/>
      <c r="H151" s="34"/>
      <c r="I151" s="34"/>
      <c r="J151" s="34"/>
      <c r="K151" s="34"/>
      <c r="L151" s="34"/>
      <c r="M151" s="35"/>
      <c r="N151" s="34"/>
      <c r="O151" s="34"/>
      <c r="P151" s="34"/>
    </row>
    <row r="152" spans="1:16" ht="30" customHeight="1">
      <c r="A152" s="34"/>
      <c r="B152" s="34"/>
      <c r="C152" s="34"/>
      <c r="D152" s="34"/>
      <c r="E152" s="34"/>
      <c r="F152" s="34"/>
      <c r="G152" s="34"/>
      <c r="H152" s="34"/>
      <c r="I152" s="34"/>
      <c r="J152" s="34"/>
      <c r="K152" s="34"/>
      <c r="L152" s="34"/>
      <c r="M152" s="35"/>
      <c r="N152" s="34"/>
      <c r="O152" s="34"/>
      <c r="P152" s="34"/>
    </row>
    <row r="153" spans="1:16" ht="30" customHeight="1">
      <c r="A153" s="34"/>
      <c r="B153" s="34"/>
      <c r="C153" s="34"/>
      <c r="D153" s="34"/>
      <c r="E153" s="34"/>
      <c r="F153" s="34"/>
      <c r="G153" s="34"/>
      <c r="H153" s="34"/>
      <c r="I153" s="34"/>
      <c r="J153" s="34"/>
      <c r="K153" s="34"/>
      <c r="L153" s="34"/>
      <c r="M153" s="35"/>
      <c r="N153" s="34"/>
      <c r="O153" s="34"/>
      <c r="P153" s="34"/>
    </row>
    <row r="154" spans="1:16" ht="30" customHeight="1">
      <c r="A154" s="34"/>
      <c r="B154" s="34"/>
      <c r="C154" s="34"/>
      <c r="D154" s="34"/>
      <c r="E154" s="34"/>
      <c r="F154" s="34"/>
      <c r="G154" s="34"/>
      <c r="H154" s="34"/>
      <c r="I154" s="34"/>
      <c r="J154" s="34"/>
      <c r="K154" s="34"/>
      <c r="L154" s="34"/>
      <c r="M154" s="35"/>
      <c r="N154" s="34"/>
      <c r="O154" s="34"/>
      <c r="P154" s="34"/>
    </row>
    <row r="155" spans="1:16" ht="30" customHeight="1">
      <c r="A155" s="34"/>
      <c r="B155" s="34"/>
      <c r="C155" s="34"/>
      <c r="D155" s="34"/>
      <c r="E155" s="34"/>
      <c r="F155" s="34"/>
      <c r="G155" s="34"/>
      <c r="H155" s="34"/>
      <c r="I155" s="34"/>
      <c r="J155" s="34"/>
      <c r="K155" s="34"/>
      <c r="L155" s="34"/>
      <c r="M155" s="35"/>
      <c r="N155" s="34"/>
      <c r="O155" s="34"/>
      <c r="P155" s="34"/>
    </row>
    <row r="156" spans="1:16" ht="30" customHeight="1">
      <c r="A156" s="34"/>
      <c r="B156" s="34"/>
      <c r="C156" s="34"/>
      <c r="D156" s="34"/>
      <c r="E156" s="34"/>
      <c r="F156" s="34"/>
      <c r="G156" s="34"/>
      <c r="H156" s="34"/>
      <c r="I156" s="34"/>
      <c r="J156" s="34"/>
      <c r="K156" s="34"/>
      <c r="L156" s="34"/>
      <c r="M156" s="35"/>
      <c r="N156" s="34"/>
      <c r="O156" s="34"/>
      <c r="P156" s="34"/>
    </row>
    <row r="157" spans="1:16" ht="30" customHeight="1">
      <c r="A157" s="34"/>
      <c r="B157" s="34"/>
      <c r="C157" s="34"/>
      <c r="D157" s="34"/>
      <c r="E157" s="34"/>
      <c r="F157" s="34"/>
      <c r="G157" s="34"/>
      <c r="H157" s="34"/>
      <c r="I157" s="34"/>
      <c r="J157" s="34"/>
      <c r="K157" s="34"/>
      <c r="L157" s="34"/>
      <c r="M157" s="35"/>
      <c r="N157" s="34"/>
      <c r="O157" s="34"/>
      <c r="P157" s="34"/>
    </row>
    <row r="158" spans="1:16" ht="30" customHeight="1">
      <c r="A158" s="34"/>
      <c r="B158" s="34"/>
      <c r="C158" s="34"/>
      <c r="D158" s="34"/>
      <c r="E158" s="34"/>
      <c r="F158" s="34"/>
      <c r="G158" s="34"/>
      <c r="H158" s="34"/>
      <c r="I158" s="34"/>
      <c r="J158" s="34"/>
      <c r="K158" s="34"/>
      <c r="L158" s="34"/>
      <c r="M158" s="35"/>
      <c r="N158" s="34"/>
      <c r="O158" s="34"/>
      <c r="P158" s="34"/>
    </row>
    <row r="159" spans="1:16" ht="30" customHeight="1">
      <c r="A159" s="34"/>
      <c r="B159" s="34"/>
      <c r="C159" s="34"/>
      <c r="D159" s="34"/>
      <c r="E159" s="34"/>
      <c r="F159" s="34"/>
      <c r="G159" s="34"/>
      <c r="H159" s="34"/>
      <c r="I159" s="34"/>
      <c r="J159" s="34"/>
      <c r="K159" s="34"/>
      <c r="L159" s="34"/>
      <c r="M159" s="35"/>
      <c r="N159" s="34"/>
      <c r="O159" s="34"/>
      <c r="P159" s="34"/>
    </row>
    <row r="160" spans="1:16" ht="30" customHeight="1">
      <c r="A160" s="34"/>
      <c r="B160" s="34"/>
      <c r="C160" s="34"/>
      <c r="D160" s="34"/>
      <c r="E160" s="34"/>
      <c r="F160" s="34"/>
      <c r="G160" s="34"/>
      <c r="H160" s="34"/>
      <c r="I160" s="34"/>
      <c r="J160" s="34"/>
      <c r="K160" s="34"/>
      <c r="L160" s="34"/>
      <c r="M160" s="35"/>
      <c r="N160" s="34"/>
      <c r="O160" s="34"/>
      <c r="P160" s="34"/>
    </row>
    <row r="161" spans="1:16" ht="30" customHeight="1">
      <c r="A161" s="34"/>
      <c r="B161" s="34"/>
      <c r="C161" s="34"/>
      <c r="D161" s="34"/>
      <c r="E161" s="34"/>
      <c r="F161" s="34"/>
      <c r="G161" s="34"/>
      <c r="H161" s="34"/>
      <c r="I161" s="34"/>
      <c r="J161" s="34"/>
      <c r="K161" s="34"/>
      <c r="L161" s="34"/>
      <c r="M161" s="35"/>
      <c r="N161" s="34"/>
      <c r="O161" s="34"/>
      <c r="P161" s="34"/>
    </row>
    <row r="162" spans="1:16" ht="30" customHeight="1">
      <c r="A162" s="34"/>
      <c r="B162" s="34"/>
      <c r="C162" s="34"/>
      <c r="D162" s="34"/>
      <c r="E162" s="34"/>
      <c r="F162" s="34"/>
      <c r="G162" s="34"/>
      <c r="H162" s="34"/>
      <c r="I162" s="34"/>
      <c r="J162" s="34"/>
      <c r="K162" s="34"/>
      <c r="L162" s="34"/>
      <c r="M162" s="35"/>
      <c r="N162" s="34"/>
      <c r="O162" s="34"/>
      <c r="P162" s="34"/>
    </row>
    <row r="163" spans="1:16" ht="30" customHeight="1">
      <c r="A163" s="34"/>
      <c r="B163" s="34"/>
      <c r="C163" s="34"/>
      <c r="D163" s="34"/>
      <c r="E163" s="34"/>
      <c r="F163" s="34"/>
      <c r="G163" s="34"/>
      <c r="H163" s="34"/>
      <c r="I163" s="34"/>
      <c r="J163" s="34"/>
      <c r="K163" s="34"/>
      <c r="L163" s="34"/>
      <c r="M163" s="35"/>
      <c r="N163" s="34"/>
      <c r="O163" s="34"/>
      <c r="P163" s="34"/>
    </row>
    <row r="164" spans="1:16" ht="30" customHeight="1">
      <c r="A164" s="34"/>
      <c r="B164" s="34"/>
      <c r="C164" s="34"/>
      <c r="D164" s="34"/>
      <c r="E164" s="34"/>
      <c r="F164" s="34"/>
      <c r="G164" s="34"/>
      <c r="H164" s="34"/>
      <c r="I164" s="34"/>
      <c r="J164" s="34"/>
      <c r="K164" s="34"/>
      <c r="L164" s="34"/>
      <c r="M164" s="35"/>
      <c r="N164" s="34"/>
      <c r="O164" s="34"/>
      <c r="P164" s="34"/>
    </row>
    <row r="165" spans="1:16" ht="30" customHeight="1">
      <c r="A165" s="34"/>
      <c r="B165" s="34"/>
      <c r="C165" s="34"/>
      <c r="D165" s="34"/>
      <c r="E165" s="34"/>
      <c r="F165" s="34"/>
      <c r="G165" s="34"/>
      <c r="H165" s="34"/>
      <c r="I165" s="34"/>
      <c r="J165" s="34"/>
      <c r="K165" s="34"/>
      <c r="L165" s="34"/>
      <c r="M165" s="35"/>
      <c r="N165" s="34"/>
      <c r="O165" s="34"/>
      <c r="P165" s="34"/>
    </row>
    <row r="166" spans="1:16" ht="30" customHeight="1">
      <c r="A166" s="34"/>
      <c r="B166" s="34"/>
      <c r="C166" s="34"/>
      <c r="D166" s="34"/>
      <c r="E166" s="34"/>
      <c r="F166" s="34"/>
      <c r="G166" s="34"/>
      <c r="H166" s="34"/>
      <c r="I166" s="34"/>
      <c r="J166" s="34"/>
      <c r="K166" s="34"/>
      <c r="L166" s="34"/>
      <c r="M166" s="35"/>
      <c r="N166" s="34"/>
      <c r="O166" s="34"/>
      <c r="P166" s="34"/>
    </row>
    <row r="167" spans="1:16" ht="30" customHeight="1">
      <c r="A167" s="34"/>
      <c r="B167" s="34"/>
      <c r="C167" s="34"/>
      <c r="D167" s="34"/>
      <c r="E167" s="34"/>
      <c r="F167" s="34"/>
      <c r="G167" s="34"/>
      <c r="H167" s="34"/>
      <c r="I167" s="34"/>
      <c r="J167" s="34"/>
      <c r="K167" s="34"/>
      <c r="L167" s="34"/>
      <c r="M167" s="35"/>
      <c r="N167" s="34"/>
      <c r="O167" s="34"/>
      <c r="P167" s="34"/>
    </row>
    <row r="168" spans="1:16" ht="30" customHeight="1">
      <c r="A168" s="34"/>
      <c r="B168" s="34"/>
      <c r="C168" s="34"/>
      <c r="D168" s="34"/>
      <c r="E168" s="34"/>
      <c r="F168" s="34"/>
      <c r="G168" s="34"/>
      <c r="H168" s="34"/>
      <c r="I168" s="34"/>
      <c r="J168" s="34"/>
      <c r="K168" s="34"/>
      <c r="L168" s="34"/>
      <c r="M168" s="35"/>
      <c r="N168" s="34"/>
      <c r="O168" s="34"/>
      <c r="P168" s="34"/>
    </row>
    <row r="169" spans="1:16" ht="30" customHeight="1">
      <c r="A169" s="34"/>
      <c r="B169" s="34"/>
      <c r="C169" s="34"/>
      <c r="D169" s="34"/>
      <c r="E169" s="34"/>
      <c r="F169" s="34"/>
      <c r="G169" s="34"/>
      <c r="H169" s="34"/>
      <c r="I169" s="34"/>
      <c r="J169" s="34"/>
      <c r="K169" s="34"/>
      <c r="L169" s="34"/>
      <c r="M169" s="35"/>
      <c r="N169" s="34"/>
      <c r="O169" s="34"/>
      <c r="P169" s="34"/>
    </row>
    <row r="170" spans="1:16" ht="30" customHeight="1">
      <c r="A170" s="34"/>
      <c r="B170" s="34"/>
      <c r="C170" s="34"/>
      <c r="D170" s="34"/>
      <c r="E170" s="34"/>
      <c r="F170" s="34"/>
      <c r="G170" s="34"/>
      <c r="H170" s="34"/>
      <c r="I170" s="34"/>
      <c r="J170" s="34"/>
      <c r="K170" s="34"/>
      <c r="L170" s="34"/>
      <c r="M170" s="35"/>
      <c r="N170" s="34"/>
      <c r="O170" s="34"/>
      <c r="P170" s="34"/>
    </row>
    <row r="171" spans="1:16" ht="30" customHeight="1">
      <c r="A171" s="34"/>
      <c r="B171" s="34"/>
      <c r="C171" s="34"/>
      <c r="D171" s="34"/>
      <c r="E171" s="34"/>
      <c r="F171" s="34"/>
      <c r="G171" s="34"/>
      <c r="H171" s="34"/>
      <c r="I171" s="34"/>
      <c r="J171" s="34"/>
      <c r="K171" s="34"/>
      <c r="L171" s="34"/>
      <c r="M171" s="35"/>
      <c r="N171" s="34"/>
      <c r="O171" s="34"/>
      <c r="P171" s="34"/>
    </row>
    <row r="172" spans="1:16" ht="30" customHeight="1">
      <c r="A172" s="34"/>
      <c r="B172" s="34"/>
      <c r="C172" s="34"/>
      <c r="D172" s="34"/>
      <c r="E172" s="34"/>
      <c r="F172" s="34"/>
      <c r="G172" s="34"/>
      <c r="H172" s="34"/>
      <c r="I172" s="34"/>
      <c r="J172" s="34"/>
      <c r="K172" s="34"/>
      <c r="L172" s="34"/>
      <c r="M172" s="35"/>
      <c r="N172" s="34"/>
      <c r="O172" s="34"/>
      <c r="P172" s="34"/>
    </row>
    <row r="173" spans="1:16" ht="30" customHeight="1">
      <c r="A173" s="34"/>
      <c r="B173" s="34"/>
      <c r="C173" s="34"/>
      <c r="D173" s="34"/>
      <c r="E173" s="34"/>
      <c r="F173" s="34"/>
      <c r="G173" s="34"/>
      <c r="H173" s="34"/>
      <c r="I173" s="34"/>
      <c r="J173" s="34"/>
      <c r="K173" s="34"/>
      <c r="L173" s="34"/>
      <c r="M173" s="35"/>
      <c r="N173" s="34"/>
      <c r="O173" s="34"/>
      <c r="P173" s="34"/>
    </row>
    <row r="174" spans="1:16" ht="30" customHeight="1">
      <c r="A174" s="34"/>
      <c r="B174" s="34"/>
      <c r="C174" s="34"/>
      <c r="D174" s="34"/>
      <c r="E174" s="34"/>
      <c r="F174" s="34"/>
      <c r="G174" s="34"/>
      <c r="H174" s="34"/>
      <c r="I174" s="34"/>
      <c r="J174" s="34"/>
      <c r="K174" s="34"/>
      <c r="L174" s="34"/>
      <c r="M174" s="35"/>
      <c r="N174" s="34"/>
      <c r="O174" s="34"/>
      <c r="P174" s="34"/>
    </row>
    <row r="175" spans="1:16" ht="30" customHeight="1">
      <c r="A175" s="34"/>
      <c r="B175" s="34"/>
      <c r="C175" s="34"/>
      <c r="D175" s="34"/>
      <c r="E175" s="34"/>
      <c r="F175" s="34"/>
      <c r="G175" s="34"/>
      <c r="H175" s="34"/>
      <c r="I175" s="34"/>
      <c r="J175" s="34"/>
      <c r="K175" s="34"/>
      <c r="L175" s="34"/>
      <c r="M175" s="35"/>
      <c r="N175" s="34"/>
      <c r="O175" s="34"/>
      <c r="P175" s="34"/>
    </row>
    <row r="176" spans="1:16" ht="30" customHeight="1">
      <c r="A176" s="34"/>
      <c r="B176" s="34"/>
      <c r="C176" s="34"/>
      <c r="D176" s="34"/>
      <c r="E176" s="34"/>
      <c r="F176" s="34"/>
      <c r="G176" s="34"/>
      <c r="H176" s="34"/>
      <c r="I176" s="34"/>
      <c r="J176" s="34"/>
      <c r="K176" s="34"/>
      <c r="L176" s="34"/>
      <c r="M176" s="35"/>
      <c r="N176" s="34"/>
      <c r="O176" s="34"/>
      <c r="P176" s="34"/>
    </row>
    <row r="177" spans="1:16" ht="30" customHeight="1">
      <c r="A177" s="34"/>
      <c r="B177" s="34"/>
      <c r="C177" s="34"/>
      <c r="D177" s="34"/>
      <c r="E177" s="34"/>
      <c r="F177" s="34"/>
      <c r="G177" s="34"/>
      <c r="H177" s="34"/>
      <c r="I177" s="34"/>
      <c r="J177" s="34"/>
      <c r="K177" s="34"/>
      <c r="L177" s="34"/>
      <c r="M177" s="35"/>
      <c r="N177" s="34"/>
      <c r="O177" s="34"/>
      <c r="P177" s="34"/>
    </row>
    <row r="178" spans="1:16" ht="30" customHeight="1">
      <c r="A178" s="34"/>
      <c r="B178" s="34"/>
      <c r="C178" s="34"/>
      <c r="D178" s="34"/>
      <c r="E178" s="34"/>
      <c r="F178" s="34"/>
      <c r="G178" s="34"/>
      <c r="H178" s="34"/>
      <c r="I178" s="34"/>
      <c r="J178" s="34"/>
      <c r="K178" s="34"/>
      <c r="L178" s="34"/>
      <c r="M178" s="35"/>
      <c r="N178" s="34"/>
      <c r="O178" s="34"/>
      <c r="P178" s="34"/>
    </row>
    <row r="179" spans="1:16" ht="30" customHeight="1">
      <c r="A179" s="34"/>
      <c r="B179" s="34"/>
      <c r="C179" s="34"/>
      <c r="D179" s="34"/>
      <c r="E179" s="34"/>
      <c r="F179" s="34"/>
      <c r="G179" s="34"/>
      <c r="H179" s="34"/>
      <c r="I179" s="34"/>
      <c r="J179" s="34"/>
      <c r="K179" s="34"/>
      <c r="L179" s="34"/>
      <c r="M179" s="35"/>
      <c r="N179" s="34"/>
      <c r="O179" s="34"/>
      <c r="P179" s="34"/>
    </row>
    <row r="180" spans="1:16" ht="30" customHeight="1">
      <c r="A180" s="34"/>
      <c r="B180" s="34"/>
      <c r="C180" s="34"/>
      <c r="D180" s="34"/>
      <c r="E180" s="34"/>
      <c r="F180" s="34"/>
      <c r="G180" s="34"/>
      <c r="H180" s="34"/>
      <c r="I180" s="34"/>
      <c r="J180" s="34"/>
      <c r="K180" s="34"/>
      <c r="L180" s="34"/>
      <c r="M180" s="35"/>
      <c r="N180" s="34"/>
      <c r="O180" s="34"/>
      <c r="P180" s="34"/>
    </row>
    <row r="181" spans="1:16" ht="30" customHeight="1">
      <c r="A181" s="34"/>
      <c r="B181" s="34"/>
      <c r="C181" s="34"/>
      <c r="D181" s="34"/>
      <c r="E181" s="34"/>
      <c r="F181" s="34"/>
      <c r="G181" s="34"/>
      <c r="H181" s="34"/>
      <c r="I181" s="34"/>
      <c r="J181" s="34"/>
      <c r="K181" s="34"/>
      <c r="L181" s="34"/>
      <c r="M181" s="35"/>
      <c r="N181" s="34"/>
      <c r="O181" s="34"/>
      <c r="P181" s="34"/>
    </row>
    <row r="182" spans="1:16" ht="30" customHeight="1">
      <c r="A182" s="34"/>
      <c r="B182" s="34"/>
      <c r="C182" s="34"/>
      <c r="D182" s="34"/>
      <c r="E182" s="34"/>
      <c r="F182" s="34"/>
      <c r="G182" s="34"/>
      <c r="H182" s="34"/>
      <c r="I182" s="34"/>
      <c r="J182" s="34"/>
      <c r="K182" s="34"/>
      <c r="L182" s="34"/>
      <c r="M182" s="35"/>
      <c r="N182" s="34"/>
      <c r="O182" s="34"/>
      <c r="P182" s="34"/>
    </row>
    <row r="183" spans="1:16" ht="30" customHeight="1">
      <c r="A183" s="34"/>
      <c r="B183" s="34"/>
      <c r="C183" s="34"/>
      <c r="D183" s="34"/>
      <c r="E183" s="34"/>
      <c r="F183" s="34"/>
      <c r="G183" s="34"/>
      <c r="H183" s="34"/>
      <c r="I183" s="34"/>
      <c r="J183" s="34"/>
      <c r="K183" s="34"/>
      <c r="L183" s="34"/>
      <c r="M183" s="35"/>
      <c r="N183" s="34"/>
      <c r="O183" s="34"/>
      <c r="P183" s="34"/>
    </row>
    <row r="184" spans="1:16" ht="30" customHeight="1">
      <c r="A184" s="34"/>
      <c r="B184" s="34"/>
      <c r="C184" s="34"/>
      <c r="D184" s="34"/>
      <c r="E184" s="34"/>
      <c r="F184" s="34"/>
      <c r="G184" s="34"/>
      <c r="H184" s="34"/>
      <c r="I184" s="34"/>
      <c r="J184" s="34"/>
      <c r="K184" s="34"/>
      <c r="L184" s="34"/>
      <c r="M184" s="35"/>
      <c r="N184" s="34"/>
      <c r="O184" s="34"/>
      <c r="P184" s="34"/>
    </row>
    <row r="185" spans="1:16" ht="30" customHeight="1">
      <c r="A185" s="34"/>
      <c r="B185" s="34"/>
      <c r="C185" s="34"/>
      <c r="D185" s="34"/>
      <c r="E185" s="34"/>
      <c r="F185" s="34"/>
      <c r="G185" s="34"/>
      <c r="H185" s="34"/>
      <c r="I185" s="34"/>
      <c r="J185" s="34"/>
      <c r="K185" s="34"/>
      <c r="L185" s="34"/>
      <c r="M185" s="35"/>
      <c r="N185" s="34"/>
      <c r="O185" s="34"/>
      <c r="P185" s="34"/>
    </row>
    <row r="186" spans="1:16" ht="30" customHeight="1">
      <c r="A186" s="34"/>
      <c r="B186" s="34"/>
      <c r="C186" s="34"/>
      <c r="D186" s="34"/>
      <c r="E186" s="34"/>
      <c r="F186" s="34"/>
      <c r="G186" s="34"/>
      <c r="H186" s="34"/>
      <c r="I186" s="34"/>
      <c r="J186" s="34"/>
      <c r="K186" s="34"/>
      <c r="L186" s="34"/>
      <c r="M186" s="35"/>
      <c r="N186" s="34"/>
      <c r="O186" s="34"/>
      <c r="P186" s="34"/>
    </row>
    <row r="187" spans="1:16" ht="30" customHeight="1">
      <c r="A187" s="34"/>
      <c r="B187" s="34"/>
      <c r="C187" s="34"/>
      <c r="D187" s="34"/>
      <c r="E187" s="34"/>
      <c r="F187" s="34"/>
      <c r="G187" s="34"/>
      <c r="H187" s="34"/>
      <c r="I187" s="34"/>
      <c r="J187" s="34"/>
      <c r="K187" s="34"/>
      <c r="L187" s="34"/>
      <c r="M187" s="35"/>
      <c r="N187" s="34"/>
      <c r="O187" s="34"/>
      <c r="P187" s="34"/>
    </row>
    <row r="188" spans="1:16" ht="30" customHeight="1">
      <c r="A188" s="34"/>
      <c r="B188" s="34"/>
      <c r="C188" s="34"/>
      <c r="D188" s="34"/>
      <c r="E188" s="34"/>
      <c r="F188" s="34"/>
      <c r="G188" s="34"/>
      <c r="H188" s="34"/>
      <c r="I188" s="34"/>
      <c r="J188" s="34"/>
      <c r="K188" s="34"/>
      <c r="L188" s="34"/>
      <c r="M188" s="35"/>
      <c r="N188" s="34"/>
      <c r="O188" s="34"/>
      <c r="P188" s="34"/>
    </row>
    <row r="189" spans="1:16" ht="30" customHeight="1">
      <c r="A189" s="34"/>
      <c r="B189" s="34"/>
      <c r="C189" s="34"/>
      <c r="D189" s="34"/>
      <c r="E189" s="34"/>
      <c r="F189" s="34"/>
      <c r="G189" s="34"/>
      <c r="H189" s="34"/>
      <c r="I189" s="34"/>
      <c r="J189" s="34"/>
      <c r="K189" s="34"/>
      <c r="L189" s="34"/>
      <c r="M189" s="35"/>
      <c r="N189" s="34"/>
      <c r="O189" s="34"/>
      <c r="P189" s="34"/>
    </row>
    <row r="190" spans="1:16" ht="30" customHeight="1">
      <c r="A190" s="34"/>
      <c r="B190" s="34"/>
      <c r="C190" s="34"/>
      <c r="D190" s="34"/>
      <c r="E190" s="34"/>
      <c r="F190" s="34"/>
      <c r="G190" s="34"/>
      <c r="H190" s="34"/>
      <c r="I190" s="34"/>
      <c r="J190" s="34"/>
      <c r="K190" s="34"/>
      <c r="L190" s="34"/>
      <c r="M190" s="35"/>
      <c r="N190" s="34"/>
      <c r="O190" s="34"/>
      <c r="P190" s="34"/>
    </row>
    <row r="191" spans="1:16" ht="30" customHeight="1">
      <c r="A191" s="34"/>
      <c r="B191" s="34"/>
      <c r="C191" s="34"/>
      <c r="D191" s="34"/>
      <c r="E191" s="34"/>
      <c r="F191" s="34"/>
      <c r="G191" s="34"/>
      <c r="H191" s="34"/>
      <c r="I191" s="34"/>
      <c r="J191" s="34"/>
      <c r="K191" s="34"/>
      <c r="L191" s="34"/>
      <c r="M191" s="35"/>
      <c r="N191" s="34"/>
      <c r="O191" s="34"/>
      <c r="P191" s="34"/>
    </row>
    <row r="192" spans="1:16" ht="30" customHeight="1">
      <c r="A192" s="34"/>
      <c r="B192" s="34"/>
      <c r="C192" s="34"/>
      <c r="D192" s="34"/>
      <c r="E192" s="34"/>
      <c r="F192" s="34"/>
      <c r="G192" s="34"/>
      <c r="H192" s="34"/>
      <c r="I192" s="34"/>
      <c r="J192" s="34"/>
      <c r="K192" s="34"/>
      <c r="L192" s="34"/>
      <c r="M192" s="35"/>
      <c r="N192" s="34"/>
      <c r="O192" s="34"/>
      <c r="P192" s="34"/>
    </row>
    <row r="193" spans="1:16" ht="30" customHeight="1">
      <c r="A193" s="34"/>
      <c r="B193" s="34"/>
      <c r="C193" s="34"/>
      <c r="D193" s="34"/>
      <c r="E193" s="34"/>
      <c r="F193" s="34"/>
      <c r="G193" s="34"/>
      <c r="H193" s="34"/>
      <c r="I193" s="34"/>
      <c r="J193" s="34"/>
      <c r="K193" s="34"/>
      <c r="L193" s="34"/>
      <c r="M193" s="35"/>
      <c r="N193" s="34"/>
      <c r="O193" s="34"/>
      <c r="P193" s="34"/>
    </row>
    <row r="194" spans="1:16" ht="30" customHeight="1">
      <c r="A194" s="34"/>
      <c r="B194" s="34"/>
      <c r="C194" s="34"/>
      <c r="D194" s="34"/>
      <c r="E194" s="34"/>
      <c r="F194" s="34"/>
      <c r="G194" s="34"/>
      <c r="H194" s="34"/>
      <c r="I194" s="34"/>
      <c r="J194" s="34"/>
      <c r="K194" s="34"/>
      <c r="L194" s="34"/>
      <c r="M194" s="35"/>
      <c r="N194" s="34"/>
      <c r="O194" s="34"/>
      <c r="P194" s="34"/>
    </row>
    <row r="195" spans="1:16" ht="30" customHeight="1">
      <c r="A195" s="34"/>
      <c r="B195" s="34"/>
      <c r="C195" s="34"/>
      <c r="D195" s="34"/>
      <c r="E195" s="34"/>
      <c r="F195" s="34"/>
      <c r="G195" s="34"/>
      <c r="H195" s="34"/>
      <c r="I195" s="34"/>
      <c r="J195" s="34"/>
      <c r="K195" s="34"/>
      <c r="L195" s="34"/>
      <c r="M195" s="35"/>
      <c r="N195" s="34"/>
      <c r="O195" s="34"/>
      <c r="P195" s="34"/>
    </row>
    <row r="196" spans="1:16" ht="30" customHeight="1">
      <c r="A196" s="34"/>
      <c r="B196" s="34"/>
      <c r="C196" s="34"/>
      <c r="D196" s="34"/>
      <c r="E196" s="34"/>
      <c r="F196" s="34"/>
      <c r="G196" s="34"/>
      <c r="H196" s="34"/>
      <c r="I196" s="34"/>
      <c r="J196" s="34"/>
      <c r="K196" s="34"/>
      <c r="L196" s="34"/>
      <c r="M196" s="35"/>
      <c r="N196" s="34"/>
      <c r="O196" s="34"/>
      <c r="P196" s="34"/>
    </row>
    <row r="197" spans="1:16" ht="30" customHeight="1">
      <c r="A197" s="34"/>
      <c r="B197" s="34"/>
      <c r="C197" s="34"/>
      <c r="D197" s="34"/>
      <c r="E197" s="34"/>
      <c r="F197" s="34"/>
      <c r="G197" s="34"/>
      <c r="H197" s="34"/>
      <c r="I197" s="34"/>
      <c r="J197" s="34"/>
      <c r="K197" s="34"/>
      <c r="L197" s="34"/>
      <c r="M197" s="35"/>
      <c r="N197" s="34"/>
      <c r="O197" s="34"/>
      <c r="P197" s="34"/>
    </row>
    <row r="198" spans="1:16" ht="30" customHeight="1">
      <c r="A198" s="34"/>
      <c r="B198" s="34"/>
      <c r="C198" s="34"/>
      <c r="D198" s="34"/>
      <c r="E198" s="34"/>
      <c r="F198" s="34"/>
      <c r="G198" s="34"/>
      <c r="H198" s="34"/>
      <c r="I198" s="34"/>
      <c r="J198" s="34"/>
      <c r="K198" s="34"/>
      <c r="L198" s="34"/>
      <c r="M198" s="35"/>
      <c r="N198" s="34"/>
      <c r="O198" s="34"/>
      <c r="P198" s="34"/>
    </row>
    <row r="199" spans="1:16" ht="30" customHeight="1">
      <c r="A199" s="34"/>
      <c r="B199" s="34"/>
      <c r="C199" s="34"/>
      <c r="D199" s="34"/>
      <c r="E199" s="34"/>
      <c r="F199" s="34"/>
      <c r="G199" s="34"/>
      <c r="H199" s="34"/>
      <c r="I199" s="34"/>
      <c r="J199" s="34"/>
      <c r="K199" s="34"/>
      <c r="L199" s="34"/>
      <c r="M199" s="35"/>
      <c r="N199" s="34"/>
      <c r="O199" s="34"/>
      <c r="P199" s="34"/>
    </row>
    <row r="200" spans="1:16" ht="30" customHeight="1">
      <c r="A200" s="34"/>
      <c r="B200" s="34"/>
      <c r="C200" s="34"/>
      <c r="D200" s="34"/>
      <c r="E200" s="34"/>
      <c r="F200" s="34"/>
      <c r="G200" s="34"/>
      <c r="H200" s="34"/>
      <c r="I200" s="34"/>
      <c r="J200" s="34"/>
      <c r="K200" s="34"/>
      <c r="L200" s="34"/>
      <c r="M200" s="35"/>
      <c r="N200" s="34"/>
      <c r="O200" s="34"/>
      <c r="P200" s="34"/>
    </row>
    <row r="201" spans="1:16" ht="30" customHeight="1">
      <c r="A201" s="34"/>
      <c r="B201" s="34"/>
      <c r="C201" s="34"/>
      <c r="D201" s="34"/>
      <c r="E201" s="34"/>
      <c r="F201" s="34"/>
      <c r="G201" s="34"/>
      <c r="H201" s="34"/>
      <c r="I201" s="34"/>
      <c r="J201" s="34"/>
      <c r="K201" s="34"/>
      <c r="L201" s="34"/>
      <c r="M201" s="35"/>
      <c r="N201" s="34"/>
      <c r="O201" s="34"/>
      <c r="P201" s="34"/>
    </row>
    <row r="202" spans="1:16" ht="30" customHeight="1">
      <c r="A202" s="34"/>
      <c r="B202" s="34"/>
      <c r="C202" s="34"/>
      <c r="D202" s="34"/>
      <c r="E202" s="34"/>
      <c r="F202" s="34"/>
      <c r="G202" s="34"/>
      <c r="H202" s="34"/>
      <c r="I202" s="34"/>
      <c r="J202" s="34"/>
      <c r="K202" s="34"/>
      <c r="L202" s="34"/>
      <c r="M202" s="35"/>
      <c r="N202" s="34"/>
      <c r="O202" s="34"/>
      <c r="P202" s="34"/>
    </row>
    <row r="203" spans="1:16" ht="30" customHeight="1">
      <c r="A203" s="34"/>
      <c r="B203" s="34"/>
      <c r="C203" s="34"/>
      <c r="D203" s="34"/>
      <c r="E203" s="34"/>
      <c r="F203" s="34"/>
      <c r="G203" s="34"/>
      <c r="H203" s="34"/>
      <c r="I203" s="34"/>
      <c r="J203" s="34"/>
      <c r="K203" s="34"/>
      <c r="L203" s="34"/>
      <c r="M203" s="35"/>
      <c r="N203" s="34"/>
      <c r="O203" s="34"/>
      <c r="P203" s="34"/>
    </row>
    <row r="204" spans="1:16" ht="30" customHeight="1">
      <c r="A204" s="34"/>
      <c r="B204" s="34"/>
      <c r="C204" s="34"/>
      <c r="D204" s="34"/>
      <c r="E204" s="34"/>
      <c r="F204" s="34"/>
      <c r="G204" s="34"/>
      <c r="H204" s="34"/>
      <c r="I204" s="34"/>
      <c r="J204" s="34"/>
      <c r="K204" s="34"/>
      <c r="L204" s="34"/>
      <c r="M204" s="35"/>
      <c r="N204" s="34"/>
      <c r="O204" s="34"/>
      <c r="P204" s="34"/>
    </row>
    <row r="205" spans="1:16" ht="30" customHeight="1">
      <c r="A205" s="34"/>
      <c r="B205" s="34"/>
      <c r="C205" s="34"/>
      <c r="D205" s="34"/>
      <c r="E205" s="34"/>
      <c r="F205" s="34"/>
      <c r="G205" s="34"/>
      <c r="H205" s="34"/>
      <c r="I205" s="34"/>
      <c r="J205" s="34"/>
      <c r="K205" s="34"/>
      <c r="L205" s="34"/>
      <c r="M205" s="35"/>
      <c r="N205" s="34"/>
      <c r="O205" s="34"/>
      <c r="P205" s="34"/>
    </row>
    <row r="206" spans="1:16" ht="30" customHeight="1">
      <c r="A206" s="34"/>
      <c r="B206" s="34"/>
      <c r="C206" s="34"/>
      <c r="D206" s="34"/>
      <c r="E206" s="34"/>
      <c r="F206" s="34"/>
      <c r="G206" s="34"/>
      <c r="H206" s="34"/>
      <c r="I206" s="34"/>
      <c r="J206" s="34"/>
      <c r="K206" s="34"/>
      <c r="L206" s="34"/>
      <c r="M206" s="35"/>
      <c r="N206" s="34"/>
      <c r="O206" s="34"/>
      <c r="P206" s="34"/>
    </row>
    <row r="207" spans="1:16" ht="30" customHeight="1">
      <c r="A207" s="34"/>
      <c r="B207" s="34"/>
      <c r="C207" s="34"/>
      <c r="D207" s="34"/>
      <c r="E207" s="34"/>
      <c r="F207" s="34"/>
      <c r="G207" s="34"/>
      <c r="H207" s="34"/>
      <c r="I207" s="34"/>
      <c r="J207" s="34"/>
      <c r="K207" s="34"/>
      <c r="L207" s="34"/>
      <c r="M207" s="35"/>
      <c r="N207" s="34"/>
      <c r="O207" s="34"/>
      <c r="P207" s="34"/>
    </row>
    <row r="208" spans="1:16" ht="30" customHeight="1">
      <c r="A208" s="34"/>
      <c r="B208" s="34"/>
      <c r="C208" s="34"/>
      <c r="D208" s="34"/>
      <c r="E208" s="34"/>
      <c r="F208" s="34"/>
      <c r="G208" s="34"/>
      <c r="H208" s="34"/>
      <c r="I208" s="34"/>
      <c r="J208" s="34"/>
      <c r="K208" s="34"/>
      <c r="L208" s="34"/>
      <c r="M208" s="35"/>
      <c r="N208" s="34"/>
      <c r="O208" s="34"/>
      <c r="P208" s="34"/>
    </row>
    <row r="209" spans="1:16" ht="30" customHeight="1">
      <c r="A209" s="34"/>
      <c r="B209" s="34"/>
      <c r="C209" s="34"/>
      <c r="D209" s="34"/>
      <c r="E209" s="34"/>
      <c r="F209" s="34"/>
      <c r="G209" s="34"/>
      <c r="H209" s="34"/>
      <c r="I209" s="34"/>
      <c r="J209" s="34"/>
      <c r="K209" s="34"/>
      <c r="L209" s="34"/>
      <c r="M209" s="35"/>
      <c r="N209" s="34"/>
      <c r="O209" s="34"/>
      <c r="P209" s="34"/>
    </row>
    <row r="210" spans="1:16" ht="30" customHeight="1">
      <c r="A210" s="34"/>
      <c r="B210" s="34"/>
      <c r="C210" s="34"/>
      <c r="D210" s="34"/>
      <c r="E210" s="34"/>
      <c r="F210" s="34"/>
      <c r="G210" s="34"/>
      <c r="H210" s="34"/>
      <c r="I210" s="34"/>
      <c r="J210" s="34"/>
      <c r="K210" s="34"/>
      <c r="L210" s="34"/>
      <c r="M210" s="35"/>
      <c r="N210" s="34"/>
      <c r="O210" s="34"/>
      <c r="P210" s="34"/>
    </row>
    <row r="211" spans="1:16" ht="30" customHeight="1">
      <c r="A211" s="34"/>
      <c r="B211" s="34"/>
      <c r="C211" s="34"/>
      <c r="D211" s="34"/>
      <c r="E211" s="34"/>
      <c r="F211" s="34"/>
      <c r="G211" s="34"/>
      <c r="H211" s="34"/>
      <c r="I211" s="34"/>
      <c r="J211" s="34"/>
      <c r="K211" s="34"/>
      <c r="L211" s="34"/>
      <c r="M211" s="35"/>
      <c r="N211" s="34"/>
      <c r="O211" s="34"/>
      <c r="P211" s="34"/>
    </row>
    <row r="212" spans="1:16" ht="30" customHeight="1">
      <c r="A212" s="34"/>
      <c r="B212" s="34"/>
      <c r="C212" s="34"/>
      <c r="D212" s="34"/>
      <c r="E212" s="34"/>
      <c r="F212" s="34"/>
      <c r="G212" s="34"/>
      <c r="H212" s="34"/>
      <c r="I212" s="34"/>
      <c r="J212" s="34"/>
      <c r="K212" s="34"/>
      <c r="L212" s="34"/>
      <c r="M212" s="35"/>
      <c r="N212" s="34"/>
      <c r="O212" s="34"/>
      <c r="P212" s="34"/>
    </row>
    <row r="213" spans="1:16" ht="30" customHeight="1">
      <c r="A213" s="34"/>
      <c r="B213" s="34"/>
      <c r="C213" s="34"/>
      <c r="D213" s="34"/>
      <c r="E213" s="34"/>
      <c r="F213" s="34"/>
      <c r="G213" s="34"/>
      <c r="H213" s="34"/>
      <c r="I213" s="34"/>
      <c r="J213" s="34"/>
      <c r="K213" s="34"/>
      <c r="L213" s="34"/>
      <c r="M213" s="35"/>
      <c r="N213" s="34"/>
      <c r="O213" s="34"/>
      <c r="P213" s="34"/>
    </row>
    <row r="214" spans="1:16" ht="30" customHeight="1">
      <c r="A214" s="34"/>
      <c r="B214" s="34"/>
      <c r="C214" s="34"/>
      <c r="D214" s="34"/>
      <c r="E214" s="34"/>
      <c r="F214" s="34"/>
      <c r="G214" s="34"/>
      <c r="H214" s="34"/>
      <c r="I214" s="34"/>
      <c r="J214" s="34"/>
      <c r="K214" s="34"/>
      <c r="L214" s="34"/>
      <c r="M214" s="35"/>
      <c r="N214" s="34"/>
      <c r="O214" s="34"/>
      <c r="P214" s="34"/>
    </row>
    <row r="215" spans="1:16" ht="30" customHeight="1">
      <c r="A215" s="34"/>
      <c r="B215" s="34"/>
      <c r="C215" s="34"/>
      <c r="D215" s="34"/>
      <c r="E215" s="34"/>
      <c r="F215" s="34"/>
      <c r="G215" s="34"/>
      <c r="H215" s="34"/>
      <c r="I215" s="34"/>
      <c r="J215" s="34"/>
      <c r="K215" s="34"/>
      <c r="L215" s="34"/>
      <c r="M215" s="35"/>
      <c r="N215" s="34"/>
      <c r="O215" s="34"/>
      <c r="P215" s="34"/>
    </row>
    <row r="216" spans="1:16" ht="30" customHeight="1">
      <c r="A216" s="34"/>
      <c r="B216" s="34"/>
      <c r="C216" s="34"/>
      <c r="D216" s="34"/>
      <c r="E216" s="34"/>
      <c r="F216" s="34"/>
      <c r="G216" s="34"/>
      <c r="H216" s="34"/>
      <c r="I216" s="34"/>
      <c r="J216" s="34"/>
      <c r="K216" s="34"/>
      <c r="L216" s="34"/>
      <c r="M216" s="35"/>
      <c r="N216" s="34"/>
      <c r="O216" s="34"/>
      <c r="P216" s="34"/>
    </row>
    <row r="217" spans="1:16" ht="30" customHeight="1">
      <c r="A217" s="34"/>
      <c r="B217" s="34"/>
      <c r="C217" s="34"/>
      <c r="D217" s="34"/>
      <c r="E217" s="34"/>
      <c r="F217" s="34"/>
      <c r="G217" s="34"/>
      <c r="H217" s="34"/>
      <c r="I217" s="34"/>
      <c r="J217" s="34"/>
      <c r="K217" s="34"/>
      <c r="L217" s="34"/>
      <c r="M217" s="35"/>
      <c r="N217" s="34"/>
      <c r="O217" s="34"/>
      <c r="P217" s="34"/>
    </row>
    <row r="218" spans="1:16" ht="30" customHeight="1">
      <c r="A218" s="34"/>
      <c r="B218" s="34"/>
      <c r="C218" s="34"/>
      <c r="D218" s="34"/>
      <c r="E218" s="34"/>
      <c r="F218" s="34"/>
      <c r="G218" s="34"/>
      <c r="H218" s="34"/>
      <c r="I218" s="34"/>
      <c r="J218" s="34"/>
      <c r="K218" s="34"/>
      <c r="L218" s="34"/>
      <c r="M218" s="35"/>
      <c r="N218" s="34"/>
      <c r="O218" s="34"/>
      <c r="P218" s="34"/>
    </row>
    <row r="219" spans="1:16" ht="30" customHeight="1">
      <c r="A219" s="34"/>
      <c r="B219" s="34"/>
      <c r="C219" s="34"/>
      <c r="D219" s="34"/>
      <c r="E219" s="34"/>
      <c r="F219" s="34"/>
      <c r="G219" s="34"/>
      <c r="H219" s="34"/>
      <c r="I219" s="34"/>
      <c r="J219" s="34"/>
      <c r="K219" s="34"/>
      <c r="L219" s="34"/>
      <c r="M219" s="35"/>
      <c r="N219" s="34"/>
      <c r="O219" s="34"/>
      <c r="P219" s="34"/>
    </row>
    <row r="220" spans="1:16" ht="30" customHeight="1">
      <c r="A220" s="34"/>
      <c r="B220" s="34"/>
      <c r="C220" s="34"/>
      <c r="D220" s="34"/>
      <c r="E220" s="34"/>
      <c r="F220" s="34"/>
      <c r="G220" s="34"/>
      <c r="H220" s="34"/>
      <c r="I220" s="34"/>
      <c r="J220" s="34"/>
      <c r="K220" s="34"/>
      <c r="L220" s="34"/>
      <c r="M220" s="35"/>
      <c r="N220" s="34"/>
      <c r="O220" s="34"/>
      <c r="P220" s="34"/>
    </row>
    <row r="221" spans="1:16" ht="30" customHeight="1">
      <c r="A221" s="34"/>
      <c r="B221" s="34"/>
      <c r="C221" s="34"/>
      <c r="D221" s="34"/>
      <c r="E221" s="34"/>
      <c r="F221" s="34"/>
      <c r="G221" s="34"/>
      <c r="H221" s="34"/>
      <c r="I221" s="34"/>
      <c r="J221" s="34"/>
      <c r="K221" s="34"/>
      <c r="L221" s="34"/>
      <c r="M221" s="35"/>
      <c r="N221" s="34"/>
      <c r="O221" s="34"/>
      <c r="P221" s="34"/>
    </row>
    <row r="222" spans="1:16" ht="30" customHeight="1">
      <c r="A222" s="34"/>
      <c r="B222" s="34"/>
      <c r="C222" s="34"/>
      <c r="D222" s="34"/>
      <c r="E222" s="34"/>
      <c r="F222" s="34"/>
      <c r="G222" s="34"/>
      <c r="H222" s="34"/>
      <c r="I222" s="34"/>
      <c r="J222" s="34"/>
      <c r="K222" s="34"/>
      <c r="L222" s="34"/>
      <c r="M222" s="35"/>
      <c r="N222" s="34"/>
      <c r="O222" s="34"/>
      <c r="P222" s="34"/>
    </row>
    <row r="223" spans="1:16" ht="30" customHeight="1">
      <c r="A223" s="34"/>
      <c r="B223" s="34"/>
      <c r="C223" s="34"/>
      <c r="D223" s="34"/>
      <c r="E223" s="34"/>
      <c r="F223" s="34"/>
      <c r="G223" s="34"/>
      <c r="H223" s="34"/>
      <c r="I223" s="34"/>
      <c r="J223" s="34"/>
      <c r="K223" s="34"/>
      <c r="L223" s="34"/>
      <c r="M223" s="35"/>
      <c r="N223" s="34"/>
      <c r="O223" s="34"/>
      <c r="P223" s="34"/>
    </row>
    <row r="224" spans="1:16" ht="30" customHeight="1">
      <c r="A224" s="34"/>
      <c r="B224" s="34"/>
      <c r="C224" s="34"/>
      <c r="D224" s="34"/>
      <c r="E224" s="34"/>
      <c r="F224" s="34"/>
      <c r="G224" s="34"/>
      <c r="H224" s="34"/>
      <c r="I224" s="34"/>
      <c r="J224" s="34"/>
      <c r="K224" s="34"/>
      <c r="L224" s="34"/>
      <c r="M224" s="35"/>
      <c r="N224" s="34"/>
      <c r="O224" s="34"/>
      <c r="P224" s="34"/>
    </row>
    <row r="225" spans="1:16" ht="30" customHeight="1">
      <c r="A225" s="34"/>
      <c r="B225" s="34"/>
      <c r="C225" s="34"/>
      <c r="D225" s="34"/>
      <c r="E225" s="34"/>
      <c r="F225" s="34"/>
      <c r="G225" s="34"/>
      <c r="H225" s="34"/>
      <c r="I225" s="34"/>
      <c r="J225" s="34"/>
      <c r="K225" s="34"/>
      <c r="L225" s="34"/>
      <c r="M225" s="35"/>
      <c r="N225" s="34"/>
      <c r="O225" s="34"/>
      <c r="P225" s="34"/>
    </row>
    <row r="226" spans="1:16" ht="30" customHeight="1">
      <c r="A226" s="34"/>
      <c r="B226" s="34"/>
      <c r="C226" s="34"/>
      <c r="D226" s="34"/>
      <c r="E226" s="34"/>
      <c r="F226" s="34"/>
      <c r="G226" s="34"/>
      <c r="H226" s="34"/>
      <c r="I226" s="34"/>
      <c r="J226" s="34"/>
      <c r="K226" s="34"/>
      <c r="L226" s="34"/>
      <c r="M226" s="35"/>
      <c r="N226" s="34"/>
      <c r="O226" s="34"/>
      <c r="P226" s="34"/>
    </row>
    <row r="227" spans="1:16" ht="30" customHeight="1">
      <c r="A227" s="34"/>
      <c r="B227" s="34"/>
      <c r="C227" s="34"/>
      <c r="D227" s="34"/>
      <c r="E227" s="34"/>
      <c r="F227" s="34"/>
      <c r="G227" s="34"/>
      <c r="H227" s="34"/>
      <c r="I227" s="34"/>
      <c r="J227" s="34"/>
      <c r="K227" s="34"/>
      <c r="L227" s="34"/>
      <c r="M227" s="35"/>
      <c r="N227" s="34"/>
      <c r="O227" s="34"/>
      <c r="P227" s="34"/>
    </row>
    <row r="228" spans="1:16" ht="30" customHeight="1">
      <c r="A228" s="34"/>
      <c r="B228" s="34"/>
      <c r="C228" s="34"/>
      <c r="D228" s="34"/>
      <c r="E228" s="34"/>
      <c r="F228" s="34"/>
      <c r="G228" s="34"/>
      <c r="H228" s="34"/>
      <c r="I228" s="34"/>
      <c r="J228" s="34"/>
      <c r="K228" s="34"/>
      <c r="L228" s="34"/>
      <c r="M228" s="35"/>
      <c r="N228" s="34"/>
      <c r="O228" s="34"/>
      <c r="P228" s="34"/>
    </row>
    <row r="229" spans="1:16" ht="30" customHeight="1">
      <c r="A229" s="34"/>
      <c r="B229" s="34"/>
      <c r="C229" s="34"/>
      <c r="D229" s="34"/>
      <c r="E229" s="34"/>
      <c r="F229" s="34"/>
      <c r="G229" s="34"/>
      <c r="H229" s="34"/>
      <c r="I229" s="34"/>
      <c r="J229" s="34"/>
      <c r="K229" s="34"/>
      <c r="L229" s="34"/>
      <c r="M229" s="35"/>
      <c r="N229" s="34"/>
      <c r="O229" s="34"/>
      <c r="P229" s="34"/>
    </row>
    <row r="230" spans="1:16" ht="30" customHeight="1">
      <c r="A230" s="34"/>
      <c r="B230" s="34"/>
      <c r="C230" s="34"/>
      <c r="D230" s="34"/>
      <c r="E230" s="34"/>
      <c r="F230" s="34"/>
      <c r="G230" s="34"/>
      <c r="H230" s="34"/>
      <c r="I230" s="34"/>
      <c r="J230" s="34"/>
      <c r="K230" s="34"/>
      <c r="L230" s="34"/>
      <c r="M230" s="35"/>
      <c r="N230" s="34"/>
      <c r="O230" s="34"/>
      <c r="P230" s="34"/>
    </row>
    <row r="231" spans="1:16" ht="30" customHeight="1">
      <c r="A231" s="34"/>
      <c r="B231" s="34"/>
      <c r="C231" s="34"/>
      <c r="D231" s="34"/>
      <c r="E231" s="34"/>
      <c r="F231" s="34"/>
      <c r="G231" s="34"/>
      <c r="H231" s="34"/>
      <c r="I231" s="34"/>
      <c r="J231" s="34"/>
      <c r="K231" s="34"/>
      <c r="L231" s="34"/>
      <c r="M231" s="35"/>
      <c r="N231" s="34"/>
      <c r="O231" s="34"/>
      <c r="P231" s="34"/>
    </row>
    <row r="232" spans="1:16" ht="30" customHeight="1">
      <c r="A232" s="34"/>
      <c r="B232" s="34"/>
      <c r="C232" s="34"/>
      <c r="D232" s="34"/>
      <c r="E232" s="34"/>
      <c r="F232" s="34"/>
      <c r="G232" s="34"/>
      <c r="H232" s="34"/>
      <c r="I232" s="34"/>
      <c r="J232" s="34"/>
      <c r="K232" s="34"/>
      <c r="L232" s="34"/>
      <c r="M232" s="35"/>
      <c r="N232" s="34"/>
      <c r="O232" s="34"/>
      <c r="P232" s="34"/>
    </row>
    <row r="233" spans="1:16" ht="30" customHeight="1">
      <c r="A233" s="34"/>
      <c r="B233" s="34"/>
      <c r="C233" s="34"/>
      <c r="D233" s="34"/>
      <c r="E233" s="34"/>
      <c r="F233" s="34"/>
      <c r="G233" s="34"/>
      <c r="H233" s="34"/>
      <c r="I233" s="34"/>
      <c r="J233" s="34"/>
      <c r="K233" s="34"/>
      <c r="L233" s="34"/>
      <c r="M233" s="35"/>
      <c r="N233" s="34"/>
      <c r="O233" s="34"/>
      <c r="P233" s="34"/>
    </row>
    <row r="234" spans="1:16" ht="30" customHeight="1">
      <c r="A234" s="34"/>
      <c r="B234" s="34"/>
      <c r="C234" s="34"/>
      <c r="D234" s="34"/>
      <c r="E234" s="34"/>
      <c r="F234" s="34"/>
      <c r="G234" s="34"/>
      <c r="H234" s="34"/>
      <c r="I234" s="34"/>
      <c r="J234" s="34"/>
      <c r="K234" s="34"/>
      <c r="L234" s="34"/>
      <c r="M234" s="35"/>
      <c r="N234" s="34"/>
      <c r="O234" s="34"/>
      <c r="P234" s="34"/>
    </row>
    <row r="235" spans="1:16" ht="30" customHeight="1">
      <c r="A235" s="34"/>
      <c r="B235" s="34"/>
      <c r="C235" s="34"/>
      <c r="D235" s="34"/>
      <c r="E235" s="34"/>
      <c r="F235" s="34"/>
      <c r="G235" s="34"/>
      <c r="H235" s="34"/>
      <c r="I235" s="34"/>
      <c r="J235" s="34"/>
      <c r="K235" s="34"/>
      <c r="L235" s="34"/>
      <c r="M235" s="35"/>
      <c r="N235" s="34"/>
      <c r="O235" s="34"/>
      <c r="P235" s="34"/>
    </row>
    <row r="236" spans="1:16" ht="30" customHeight="1">
      <c r="A236" s="34"/>
      <c r="B236" s="34"/>
      <c r="C236" s="34"/>
      <c r="D236" s="34"/>
      <c r="E236" s="34"/>
      <c r="F236" s="34"/>
      <c r="G236" s="34"/>
      <c r="H236" s="34"/>
      <c r="I236" s="34"/>
      <c r="J236" s="34"/>
      <c r="K236" s="34"/>
      <c r="L236" s="34"/>
      <c r="M236" s="35"/>
      <c r="N236" s="34"/>
      <c r="O236" s="34"/>
      <c r="P236" s="34"/>
    </row>
    <row r="237" spans="1:16" ht="30" customHeight="1">
      <c r="A237" s="34"/>
      <c r="B237" s="34"/>
      <c r="C237" s="34"/>
      <c r="D237" s="34"/>
      <c r="E237" s="34"/>
      <c r="F237" s="34"/>
      <c r="G237" s="34"/>
      <c r="H237" s="34"/>
      <c r="I237" s="34"/>
      <c r="J237" s="34"/>
      <c r="K237" s="34"/>
      <c r="L237" s="34"/>
      <c r="M237" s="35"/>
      <c r="N237" s="34"/>
      <c r="O237" s="34"/>
      <c r="P237" s="34"/>
    </row>
    <row r="238" spans="1:16" ht="30" customHeight="1">
      <c r="A238" s="34"/>
      <c r="B238" s="34"/>
      <c r="C238" s="34"/>
      <c r="D238" s="34"/>
      <c r="E238" s="34"/>
      <c r="F238" s="34"/>
      <c r="G238" s="34"/>
      <c r="H238" s="34"/>
      <c r="I238" s="34"/>
      <c r="J238" s="34"/>
      <c r="K238" s="34"/>
      <c r="L238" s="34"/>
      <c r="M238" s="35"/>
      <c r="N238" s="34"/>
      <c r="O238" s="34"/>
      <c r="P238" s="34"/>
    </row>
    <row r="239" spans="1:16" ht="30" customHeight="1">
      <c r="A239" s="34"/>
      <c r="B239" s="34"/>
      <c r="C239" s="34"/>
      <c r="D239" s="34"/>
      <c r="E239" s="34"/>
      <c r="F239" s="34"/>
      <c r="G239" s="34"/>
      <c r="H239" s="34"/>
      <c r="I239" s="34"/>
      <c r="J239" s="34"/>
      <c r="K239" s="34"/>
      <c r="L239" s="34"/>
      <c r="M239" s="35"/>
      <c r="N239" s="34"/>
      <c r="O239" s="34"/>
      <c r="P239" s="34"/>
    </row>
    <row r="240" spans="1:16" ht="30" customHeight="1">
      <c r="A240" s="34"/>
      <c r="B240" s="34"/>
      <c r="C240" s="34"/>
      <c r="D240" s="34"/>
      <c r="E240" s="34"/>
      <c r="F240" s="34"/>
      <c r="G240" s="34"/>
      <c r="H240" s="34"/>
      <c r="I240" s="34"/>
      <c r="J240" s="34"/>
      <c r="K240" s="34"/>
      <c r="L240" s="34"/>
      <c r="M240" s="35"/>
      <c r="N240" s="34"/>
      <c r="O240" s="34"/>
      <c r="P240" s="34"/>
    </row>
    <row r="241" spans="1:16" ht="30" customHeight="1">
      <c r="A241" s="34"/>
      <c r="B241" s="34"/>
      <c r="C241" s="34"/>
      <c r="D241" s="34"/>
      <c r="E241" s="34"/>
      <c r="F241" s="34"/>
      <c r="G241" s="34"/>
      <c r="H241" s="34"/>
      <c r="I241" s="34"/>
      <c r="J241" s="34"/>
      <c r="K241" s="34"/>
      <c r="L241" s="34"/>
      <c r="M241" s="35"/>
      <c r="N241" s="34"/>
      <c r="O241" s="34"/>
      <c r="P241" s="34"/>
    </row>
    <row r="242" spans="1:16" ht="30" customHeight="1">
      <c r="A242" s="34"/>
      <c r="B242" s="34"/>
      <c r="C242" s="34"/>
      <c r="D242" s="34"/>
      <c r="E242" s="34"/>
      <c r="F242" s="34"/>
      <c r="G242" s="34"/>
      <c r="H242" s="34"/>
      <c r="I242" s="34"/>
      <c r="J242" s="34"/>
      <c r="K242" s="34"/>
      <c r="L242" s="34"/>
      <c r="M242" s="35"/>
      <c r="N242" s="34"/>
      <c r="O242" s="34"/>
      <c r="P242" s="34"/>
    </row>
    <row r="243" spans="1:16" ht="30" customHeight="1">
      <c r="A243" s="34"/>
      <c r="B243" s="34"/>
      <c r="C243" s="34"/>
      <c r="D243" s="34"/>
      <c r="E243" s="34"/>
      <c r="F243" s="34"/>
      <c r="G243" s="34"/>
      <c r="H243" s="34"/>
      <c r="I243" s="34"/>
      <c r="J243" s="34"/>
      <c r="K243" s="34"/>
      <c r="L243" s="34"/>
      <c r="M243" s="35"/>
      <c r="N243" s="34"/>
      <c r="O243" s="34"/>
      <c r="P243" s="34"/>
    </row>
    <row r="244" spans="1:16" ht="30" customHeight="1">
      <c r="A244" s="34"/>
      <c r="B244" s="34"/>
      <c r="C244" s="34"/>
      <c r="D244" s="34"/>
      <c r="E244" s="34"/>
      <c r="F244" s="34"/>
      <c r="G244" s="34"/>
      <c r="H244" s="34"/>
      <c r="I244" s="34"/>
      <c r="J244" s="34"/>
      <c r="K244" s="34"/>
      <c r="L244" s="34"/>
      <c r="M244" s="35"/>
      <c r="N244" s="34"/>
      <c r="O244" s="34"/>
      <c r="P244" s="34"/>
    </row>
    <row r="245" spans="1:16" ht="30" customHeight="1">
      <c r="A245" s="34"/>
      <c r="B245" s="34"/>
      <c r="C245" s="34"/>
      <c r="D245" s="34"/>
      <c r="E245" s="34"/>
      <c r="F245" s="34"/>
      <c r="G245" s="34"/>
      <c r="H245" s="34"/>
      <c r="I245" s="34"/>
      <c r="J245" s="34"/>
      <c r="K245" s="34"/>
      <c r="L245" s="34"/>
      <c r="M245" s="35"/>
      <c r="N245" s="34"/>
      <c r="O245" s="34"/>
      <c r="P245" s="34"/>
    </row>
    <row r="246" spans="1:16" ht="30" customHeight="1">
      <c r="A246" s="34"/>
      <c r="B246" s="34"/>
      <c r="C246" s="34"/>
      <c r="D246" s="34"/>
      <c r="E246" s="34"/>
      <c r="F246" s="34"/>
      <c r="G246" s="34"/>
      <c r="H246" s="34"/>
      <c r="I246" s="34"/>
      <c r="J246" s="34"/>
      <c r="K246" s="34"/>
      <c r="L246" s="34"/>
      <c r="M246" s="35"/>
      <c r="N246" s="34"/>
      <c r="O246" s="34"/>
      <c r="P246" s="34"/>
    </row>
    <row r="247" spans="1:16" ht="30" customHeight="1">
      <c r="A247" s="34"/>
      <c r="B247" s="34"/>
      <c r="C247" s="34"/>
      <c r="D247" s="34"/>
      <c r="E247" s="34"/>
      <c r="F247" s="34"/>
      <c r="G247" s="34"/>
      <c r="H247" s="34"/>
      <c r="I247" s="34"/>
      <c r="J247" s="34"/>
      <c r="K247" s="34"/>
      <c r="L247" s="34"/>
      <c r="M247" s="35"/>
      <c r="N247" s="34"/>
      <c r="O247" s="34"/>
      <c r="P247" s="34"/>
    </row>
    <row r="248" spans="1:16" ht="30" customHeight="1">
      <c r="A248" s="34"/>
      <c r="B248" s="34"/>
      <c r="C248" s="34"/>
      <c r="D248" s="34"/>
      <c r="E248" s="34"/>
      <c r="F248" s="34"/>
      <c r="G248" s="34"/>
      <c r="H248" s="34"/>
      <c r="I248" s="34"/>
      <c r="J248" s="34"/>
      <c r="K248" s="34"/>
      <c r="L248" s="34"/>
      <c r="M248" s="35"/>
      <c r="N248" s="34"/>
      <c r="O248" s="34"/>
      <c r="P248" s="34"/>
    </row>
    <row r="249" spans="1:16" ht="30" customHeight="1">
      <c r="A249" s="34"/>
      <c r="B249" s="34"/>
      <c r="C249" s="34"/>
      <c r="D249" s="34"/>
      <c r="E249" s="34"/>
      <c r="F249" s="34"/>
      <c r="G249" s="34"/>
      <c r="H249" s="34"/>
      <c r="I249" s="34"/>
      <c r="J249" s="34"/>
      <c r="K249" s="34"/>
      <c r="L249" s="34"/>
      <c r="M249" s="35"/>
      <c r="N249" s="34"/>
      <c r="O249" s="34"/>
      <c r="P249" s="34"/>
    </row>
    <row r="250" spans="1:16" ht="30" customHeight="1">
      <c r="A250" s="34"/>
      <c r="B250" s="34"/>
      <c r="C250" s="34"/>
      <c r="D250" s="34"/>
      <c r="E250" s="34"/>
      <c r="F250" s="34"/>
      <c r="G250" s="34"/>
      <c r="H250" s="34"/>
      <c r="I250" s="34"/>
      <c r="J250" s="34"/>
      <c r="K250" s="34"/>
      <c r="L250" s="34"/>
      <c r="M250" s="35"/>
      <c r="N250" s="34"/>
      <c r="O250" s="34"/>
      <c r="P250" s="34"/>
    </row>
    <row r="251" spans="1:16" ht="30" customHeight="1">
      <c r="A251" s="34"/>
      <c r="B251" s="34"/>
      <c r="C251" s="34"/>
      <c r="D251" s="34"/>
      <c r="E251" s="34"/>
      <c r="F251" s="34"/>
      <c r="G251" s="34"/>
      <c r="H251" s="34"/>
      <c r="I251" s="34"/>
      <c r="J251" s="34"/>
      <c r="K251" s="34"/>
      <c r="L251" s="34"/>
      <c r="M251" s="35"/>
      <c r="N251" s="34"/>
      <c r="O251" s="34"/>
      <c r="P251" s="34"/>
    </row>
    <row r="252" spans="1:16" ht="30" customHeight="1">
      <c r="A252" s="34"/>
      <c r="B252" s="34"/>
      <c r="C252" s="34"/>
      <c r="D252" s="34"/>
      <c r="E252" s="34"/>
      <c r="F252" s="34"/>
      <c r="G252" s="34"/>
      <c r="H252" s="34"/>
      <c r="I252" s="34"/>
      <c r="J252" s="34"/>
      <c r="K252" s="34"/>
      <c r="L252" s="34"/>
      <c r="M252" s="35"/>
      <c r="N252" s="34"/>
      <c r="O252" s="34"/>
      <c r="P252" s="34"/>
    </row>
    <row r="253" spans="1:16" ht="30" customHeight="1">
      <c r="A253" s="34"/>
      <c r="B253" s="34"/>
      <c r="C253" s="34"/>
      <c r="D253" s="34"/>
      <c r="E253" s="34"/>
      <c r="F253" s="34"/>
      <c r="G253" s="34"/>
      <c r="H253" s="34"/>
      <c r="I253" s="34"/>
      <c r="J253" s="34"/>
      <c r="K253" s="34"/>
      <c r="L253" s="34"/>
      <c r="M253" s="35"/>
      <c r="N253" s="34"/>
      <c r="O253" s="34"/>
      <c r="P253" s="34"/>
    </row>
    <row r="254" spans="1:16" ht="30" customHeight="1">
      <c r="A254" s="34"/>
      <c r="B254" s="34"/>
      <c r="C254" s="34"/>
      <c r="D254" s="34"/>
      <c r="E254" s="34"/>
      <c r="F254" s="34"/>
      <c r="G254" s="34"/>
      <c r="H254" s="34"/>
      <c r="I254" s="34"/>
      <c r="J254" s="34"/>
      <c r="K254" s="34"/>
      <c r="L254" s="34"/>
      <c r="M254" s="35"/>
      <c r="N254" s="34"/>
      <c r="O254" s="34"/>
      <c r="P254" s="34"/>
    </row>
    <row r="255" spans="1:16" ht="30" customHeight="1">
      <c r="A255" s="34"/>
      <c r="B255" s="34"/>
      <c r="C255" s="34"/>
      <c r="D255" s="34"/>
      <c r="E255" s="34"/>
      <c r="F255" s="34"/>
      <c r="G255" s="34"/>
      <c r="H255" s="34"/>
      <c r="I255" s="34"/>
      <c r="J255" s="34"/>
      <c r="K255" s="34"/>
      <c r="L255" s="34"/>
      <c r="M255" s="35"/>
      <c r="N255" s="34"/>
      <c r="O255" s="34"/>
      <c r="P255" s="34"/>
    </row>
    <row r="256" spans="1:16" ht="30" customHeight="1">
      <c r="A256" s="34"/>
      <c r="B256" s="34"/>
      <c r="C256" s="34"/>
      <c r="D256" s="34"/>
      <c r="E256" s="34"/>
      <c r="F256" s="34"/>
      <c r="G256" s="34"/>
      <c r="H256" s="34"/>
      <c r="I256" s="34"/>
      <c r="J256" s="34"/>
      <c r="K256" s="34"/>
      <c r="L256" s="34"/>
      <c r="M256" s="35"/>
      <c r="N256" s="34"/>
      <c r="O256" s="34"/>
      <c r="P256" s="34"/>
    </row>
    <row r="257" spans="1:16" ht="30" customHeight="1">
      <c r="A257" s="34"/>
      <c r="B257" s="34"/>
      <c r="C257" s="34"/>
      <c r="D257" s="34"/>
      <c r="E257" s="34"/>
      <c r="F257" s="34"/>
      <c r="G257" s="34"/>
      <c r="H257" s="34"/>
      <c r="I257" s="34"/>
      <c r="J257" s="34"/>
      <c r="K257" s="34"/>
      <c r="L257" s="34"/>
      <c r="M257" s="35"/>
      <c r="N257" s="34"/>
      <c r="O257" s="34"/>
      <c r="P257" s="34"/>
    </row>
    <row r="258" spans="1:16" ht="30" customHeight="1">
      <c r="A258" s="34"/>
      <c r="B258" s="34"/>
      <c r="C258" s="34"/>
      <c r="D258" s="34"/>
      <c r="E258" s="34"/>
      <c r="F258" s="34"/>
      <c r="G258" s="34"/>
      <c r="H258" s="34"/>
      <c r="I258" s="34"/>
      <c r="J258" s="34"/>
      <c r="K258" s="34"/>
      <c r="L258" s="34"/>
      <c r="M258" s="35"/>
      <c r="N258" s="34"/>
      <c r="O258" s="34"/>
      <c r="P258" s="34"/>
    </row>
    <row r="259" spans="1:16" ht="30" customHeight="1">
      <c r="A259" s="34"/>
      <c r="B259" s="34"/>
      <c r="C259" s="34"/>
      <c r="D259" s="34"/>
      <c r="E259" s="34"/>
      <c r="F259" s="34"/>
      <c r="G259" s="34"/>
      <c r="H259" s="34"/>
      <c r="I259" s="34"/>
      <c r="J259" s="34"/>
      <c r="K259" s="34"/>
      <c r="L259" s="34"/>
      <c r="M259" s="35"/>
      <c r="N259" s="34"/>
      <c r="O259" s="34"/>
      <c r="P259" s="34"/>
    </row>
    <row r="260" spans="1:16" ht="30" customHeight="1">
      <c r="A260" s="34"/>
      <c r="B260" s="34"/>
      <c r="C260" s="34"/>
      <c r="D260" s="34"/>
      <c r="E260" s="34"/>
      <c r="F260" s="34"/>
      <c r="G260" s="34"/>
      <c r="H260" s="34"/>
      <c r="I260" s="34"/>
      <c r="J260" s="34"/>
      <c r="K260" s="34"/>
      <c r="L260" s="34"/>
      <c r="M260" s="35"/>
      <c r="N260" s="34"/>
      <c r="O260" s="34"/>
      <c r="P260" s="34"/>
    </row>
    <row r="261" spans="1:16" ht="30" customHeight="1">
      <c r="A261" s="34"/>
      <c r="B261" s="34"/>
      <c r="C261" s="34"/>
      <c r="D261" s="34"/>
      <c r="E261" s="34"/>
      <c r="F261" s="34"/>
      <c r="G261" s="34"/>
      <c r="H261" s="34"/>
      <c r="I261" s="34"/>
      <c r="J261" s="34"/>
      <c r="K261" s="34"/>
      <c r="L261" s="34"/>
      <c r="M261" s="35"/>
      <c r="N261" s="34"/>
      <c r="O261" s="34"/>
      <c r="P261" s="34"/>
    </row>
    <row r="262" spans="1:16" ht="30" customHeight="1">
      <c r="A262" s="34"/>
      <c r="B262" s="34"/>
      <c r="C262" s="34"/>
      <c r="D262" s="34"/>
      <c r="E262" s="34"/>
      <c r="F262" s="34"/>
      <c r="G262" s="34"/>
      <c r="H262" s="34"/>
      <c r="I262" s="34"/>
      <c r="J262" s="34"/>
      <c r="K262" s="34"/>
      <c r="L262" s="34"/>
      <c r="M262" s="35"/>
      <c r="N262" s="34"/>
      <c r="O262" s="34"/>
      <c r="P262" s="34"/>
    </row>
    <row r="263" spans="1:16" ht="30" customHeight="1">
      <c r="A263" s="34"/>
      <c r="B263" s="34"/>
      <c r="C263" s="34"/>
      <c r="D263" s="34"/>
      <c r="E263" s="34"/>
      <c r="F263" s="34"/>
      <c r="G263" s="34"/>
      <c r="H263" s="34"/>
      <c r="I263" s="34"/>
      <c r="J263" s="34"/>
      <c r="K263" s="34"/>
      <c r="L263" s="34"/>
      <c r="M263" s="35"/>
      <c r="N263" s="34"/>
      <c r="O263" s="34"/>
      <c r="P263" s="34"/>
    </row>
    <row r="264" spans="1:16" ht="30" customHeight="1">
      <c r="A264" s="34"/>
      <c r="B264" s="34"/>
      <c r="C264" s="34"/>
      <c r="D264" s="34"/>
      <c r="E264" s="34"/>
      <c r="F264" s="34"/>
      <c r="G264" s="34"/>
      <c r="H264" s="34"/>
      <c r="I264" s="34"/>
      <c r="J264" s="34"/>
      <c r="K264" s="34"/>
      <c r="L264" s="34"/>
      <c r="M264" s="35"/>
      <c r="N264" s="34"/>
      <c r="O264" s="34"/>
      <c r="P264" s="34"/>
    </row>
    <row r="265" spans="1:16" ht="30" customHeight="1">
      <c r="A265" s="34"/>
      <c r="B265" s="34"/>
      <c r="C265" s="34"/>
      <c r="D265" s="34"/>
      <c r="E265" s="34"/>
      <c r="F265" s="34"/>
      <c r="G265" s="34"/>
      <c r="H265" s="34"/>
      <c r="I265" s="34"/>
      <c r="J265" s="34"/>
      <c r="K265" s="34"/>
      <c r="L265" s="34"/>
      <c r="M265" s="35"/>
      <c r="N265" s="34"/>
      <c r="O265" s="34"/>
      <c r="P265" s="34"/>
    </row>
    <row r="266" spans="1:16" ht="30" customHeight="1">
      <c r="A266" s="34"/>
      <c r="B266" s="34"/>
      <c r="C266" s="34"/>
      <c r="D266" s="34"/>
      <c r="E266" s="34"/>
      <c r="F266" s="34"/>
      <c r="G266" s="34"/>
      <c r="H266" s="34"/>
      <c r="I266" s="34"/>
      <c r="J266" s="34"/>
      <c r="K266" s="34"/>
      <c r="L266" s="34"/>
      <c r="M266" s="35"/>
      <c r="N266" s="34"/>
      <c r="O266" s="34"/>
      <c r="P266" s="34"/>
    </row>
    <row r="267" spans="1:16" ht="30" customHeight="1">
      <c r="A267" s="34"/>
      <c r="B267" s="34"/>
      <c r="C267" s="34"/>
      <c r="D267" s="34"/>
      <c r="E267" s="34"/>
      <c r="F267" s="34"/>
      <c r="G267" s="34"/>
      <c r="H267" s="34"/>
      <c r="I267" s="34"/>
      <c r="J267" s="34"/>
      <c r="K267" s="34"/>
      <c r="L267" s="34"/>
      <c r="M267" s="35"/>
      <c r="N267" s="34"/>
      <c r="O267" s="34"/>
      <c r="P267" s="34"/>
    </row>
    <row r="268" spans="1:16" ht="30" customHeight="1">
      <c r="A268" s="34"/>
      <c r="B268" s="34"/>
      <c r="C268" s="34"/>
      <c r="D268" s="34"/>
      <c r="E268" s="34"/>
      <c r="F268" s="34"/>
      <c r="G268" s="34"/>
      <c r="H268" s="34"/>
      <c r="I268" s="34"/>
      <c r="J268" s="34"/>
      <c r="K268" s="34"/>
      <c r="L268" s="34"/>
      <c r="M268" s="35"/>
      <c r="N268" s="34"/>
      <c r="O268" s="34"/>
      <c r="P268" s="34"/>
    </row>
    <row r="269" spans="1:16" ht="30" customHeight="1">
      <c r="A269" s="34"/>
      <c r="B269" s="34"/>
      <c r="C269" s="34"/>
      <c r="D269" s="34"/>
      <c r="E269" s="34"/>
      <c r="F269" s="34"/>
      <c r="G269" s="34"/>
      <c r="H269" s="34"/>
      <c r="I269" s="34"/>
      <c r="J269" s="34"/>
      <c r="K269" s="34"/>
      <c r="L269" s="34"/>
      <c r="M269" s="35"/>
      <c r="N269" s="34"/>
      <c r="O269" s="34"/>
      <c r="P269" s="34"/>
    </row>
    <row r="270" spans="1:16" ht="30" customHeight="1">
      <c r="A270" s="34"/>
      <c r="B270" s="34"/>
      <c r="C270" s="34"/>
      <c r="D270" s="34"/>
      <c r="E270" s="34"/>
      <c r="F270" s="34"/>
      <c r="G270" s="34"/>
      <c r="H270" s="34"/>
      <c r="I270" s="34"/>
      <c r="J270" s="34"/>
      <c r="K270" s="34"/>
      <c r="L270" s="34"/>
      <c r="M270" s="35"/>
      <c r="N270" s="34"/>
      <c r="O270" s="34"/>
      <c r="P270" s="34"/>
    </row>
    <row r="271" spans="1:16" ht="30" customHeight="1">
      <c r="A271" s="34"/>
      <c r="B271" s="34"/>
      <c r="C271" s="34"/>
      <c r="D271" s="34"/>
      <c r="E271" s="34"/>
      <c r="F271" s="34"/>
      <c r="G271" s="34"/>
      <c r="H271" s="34"/>
      <c r="I271" s="34"/>
      <c r="J271" s="34"/>
      <c r="K271" s="34"/>
      <c r="L271" s="34"/>
      <c r="M271" s="35"/>
      <c r="N271" s="34"/>
      <c r="O271" s="34"/>
      <c r="P271" s="34"/>
    </row>
    <row r="272" spans="1:16" ht="30" customHeight="1">
      <c r="A272" s="34"/>
      <c r="B272" s="34"/>
      <c r="C272" s="34"/>
      <c r="D272" s="34"/>
      <c r="E272" s="34"/>
      <c r="F272" s="34"/>
      <c r="G272" s="34"/>
      <c r="H272" s="34"/>
      <c r="I272" s="34"/>
      <c r="J272" s="34"/>
      <c r="K272" s="34"/>
      <c r="L272" s="34"/>
      <c r="M272" s="35"/>
      <c r="N272" s="34"/>
      <c r="O272" s="34"/>
      <c r="P272" s="34"/>
    </row>
    <row r="273" spans="1:16" ht="30" customHeight="1">
      <c r="A273" s="34"/>
      <c r="B273" s="34"/>
      <c r="C273" s="34"/>
      <c r="D273" s="34"/>
      <c r="E273" s="34"/>
      <c r="F273" s="34"/>
      <c r="G273" s="34"/>
      <c r="H273" s="34"/>
      <c r="I273" s="34"/>
      <c r="J273" s="34"/>
      <c r="K273" s="34"/>
      <c r="L273" s="34"/>
      <c r="M273" s="35"/>
      <c r="N273" s="34"/>
      <c r="O273" s="34"/>
      <c r="P273" s="34"/>
    </row>
    <row r="274" spans="1:16" ht="30" customHeight="1">
      <c r="A274" s="34"/>
      <c r="B274" s="34"/>
      <c r="C274" s="34"/>
      <c r="D274" s="34"/>
      <c r="E274" s="34"/>
      <c r="F274" s="34"/>
      <c r="G274" s="34"/>
      <c r="H274" s="34"/>
      <c r="I274" s="34"/>
      <c r="J274" s="34"/>
      <c r="K274" s="34"/>
      <c r="L274" s="34"/>
      <c r="M274" s="35"/>
      <c r="N274" s="34"/>
      <c r="O274" s="34"/>
      <c r="P274" s="34"/>
    </row>
    <row r="275" spans="1:16" ht="30" customHeight="1">
      <c r="A275" s="34"/>
      <c r="B275" s="34"/>
      <c r="C275" s="34"/>
      <c r="D275" s="34"/>
      <c r="E275" s="34"/>
      <c r="F275" s="34"/>
      <c r="G275" s="34"/>
      <c r="H275" s="34"/>
      <c r="I275" s="34"/>
      <c r="J275" s="34"/>
      <c r="K275" s="34"/>
      <c r="L275" s="34"/>
      <c r="M275" s="35"/>
      <c r="N275" s="34"/>
      <c r="O275" s="34"/>
      <c r="P275" s="34"/>
    </row>
    <row r="276" spans="1:16" ht="30" customHeight="1">
      <c r="A276" s="34"/>
      <c r="B276" s="34"/>
      <c r="C276" s="34"/>
      <c r="D276" s="34"/>
      <c r="E276" s="34"/>
      <c r="F276" s="34"/>
      <c r="G276" s="34"/>
      <c r="H276" s="34"/>
      <c r="I276" s="34"/>
      <c r="J276" s="34"/>
      <c r="K276" s="34"/>
      <c r="L276" s="34"/>
      <c r="M276" s="35"/>
      <c r="N276" s="34"/>
      <c r="O276" s="34"/>
      <c r="P276" s="34"/>
    </row>
    <row r="277" spans="1:16" ht="30" customHeight="1">
      <c r="A277" s="34"/>
      <c r="B277" s="34"/>
      <c r="C277" s="34"/>
      <c r="D277" s="34"/>
      <c r="E277" s="34"/>
      <c r="F277" s="34"/>
      <c r="G277" s="34"/>
      <c r="H277" s="34"/>
      <c r="I277" s="34"/>
      <c r="J277" s="34"/>
      <c r="K277" s="34"/>
      <c r="L277" s="34"/>
      <c r="M277" s="35"/>
      <c r="N277" s="34"/>
      <c r="O277" s="34"/>
      <c r="P277" s="34"/>
    </row>
    <row r="278" spans="1:16" ht="30" customHeight="1">
      <c r="A278" s="34"/>
      <c r="B278" s="34"/>
      <c r="C278" s="34"/>
      <c r="D278" s="34"/>
      <c r="E278" s="34"/>
      <c r="F278" s="34"/>
      <c r="G278" s="34"/>
      <c r="H278" s="34"/>
      <c r="I278" s="34"/>
      <c r="J278" s="34"/>
      <c r="K278" s="34"/>
      <c r="L278" s="34"/>
      <c r="M278" s="35"/>
      <c r="N278" s="34"/>
      <c r="O278" s="34"/>
      <c r="P278" s="34"/>
    </row>
    <row r="279" spans="1:16" ht="30" customHeight="1">
      <c r="A279" s="34"/>
      <c r="B279" s="34"/>
      <c r="C279" s="34"/>
      <c r="D279" s="34"/>
      <c r="E279" s="34"/>
      <c r="F279" s="34"/>
      <c r="G279" s="34"/>
      <c r="H279" s="34"/>
      <c r="I279" s="34"/>
      <c r="J279" s="34"/>
      <c r="K279" s="34"/>
      <c r="L279" s="34"/>
      <c r="M279" s="35"/>
      <c r="N279" s="34"/>
      <c r="O279" s="34"/>
      <c r="P279" s="34"/>
    </row>
    <row r="280" spans="1:16" ht="30" customHeight="1">
      <c r="A280" s="34"/>
      <c r="B280" s="34"/>
      <c r="C280" s="34"/>
      <c r="D280" s="34"/>
      <c r="E280" s="34"/>
      <c r="F280" s="34"/>
      <c r="G280" s="34"/>
      <c r="H280" s="34"/>
      <c r="I280" s="34"/>
      <c r="J280" s="34"/>
      <c r="K280" s="34"/>
      <c r="L280" s="34"/>
      <c r="M280" s="35"/>
      <c r="N280" s="34"/>
      <c r="O280" s="34"/>
      <c r="P280" s="34"/>
    </row>
    <row r="281" spans="1:16" ht="30" customHeight="1">
      <c r="A281" s="34"/>
      <c r="B281" s="34"/>
      <c r="C281" s="34"/>
      <c r="D281" s="34"/>
      <c r="E281" s="34"/>
      <c r="F281" s="34"/>
      <c r="G281" s="34"/>
      <c r="H281" s="34"/>
      <c r="I281" s="34"/>
      <c r="J281" s="34"/>
      <c r="K281" s="34"/>
      <c r="L281" s="34"/>
      <c r="M281" s="35"/>
      <c r="N281" s="34"/>
      <c r="O281" s="34"/>
      <c r="P281" s="34"/>
    </row>
    <row r="282" spans="1:16" ht="30" customHeight="1">
      <c r="A282" s="34"/>
      <c r="B282" s="34"/>
      <c r="C282" s="34"/>
      <c r="D282" s="34"/>
      <c r="E282" s="34"/>
      <c r="F282" s="34"/>
      <c r="G282" s="34"/>
      <c r="H282" s="34"/>
      <c r="I282" s="34"/>
      <c r="J282" s="34"/>
      <c r="K282" s="34"/>
      <c r="L282" s="34"/>
      <c r="M282" s="35"/>
      <c r="N282" s="34"/>
      <c r="O282" s="34"/>
      <c r="P282" s="34"/>
    </row>
    <row r="283" spans="1:16" ht="30" customHeight="1">
      <c r="A283" s="34"/>
      <c r="B283" s="34"/>
      <c r="C283" s="34"/>
      <c r="D283" s="34"/>
      <c r="E283" s="34"/>
      <c r="F283" s="34"/>
      <c r="G283" s="34"/>
      <c r="H283" s="34"/>
      <c r="I283" s="34"/>
      <c r="J283" s="34"/>
      <c r="K283" s="34"/>
      <c r="L283" s="34"/>
      <c r="M283" s="35"/>
      <c r="N283" s="34"/>
      <c r="O283" s="34"/>
      <c r="P283" s="34"/>
    </row>
    <row r="284" spans="1:16" ht="30" customHeight="1">
      <c r="A284" s="34"/>
      <c r="B284" s="34"/>
      <c r="C284" s="34"/>
      <c r="D284" s="34"/>
      <c r="E284" s="34"/>
      <c r="F284" s="34"/>
      <c r="G284" s="34"/>
      <c r="H284" s="34"/>
      <c r="I284" s="34"/>
      <c r="J284" s="34"/>
      <c r="K284" s="34"/>
      <c r="L284" s="34"/>
      <c r="M284" s="35"/>
      <c r="N284" s="34"/>
      <c r="O284" s="34"/>
      <c r="P284" s="34"/>
    </row>
    <row r="285" spans="1:16" ht="30" customHeight="1">
      <c r="A285" s="34"/>
      <c r="B285" s="34"/>
      <c r="C285" s="34"/>
      <c r="D285" s="34"/>
      <c r="E285" s="34"/>
      <c r="F285" s="34"/>
      <c r="G285" s="34"/>
      <c r="H285" s="34"/>
      <c r="I285" s="34"/>
      <c r="J285" s="34"/>
      <c r="K285" s="34"/>
      <c r="L285" s="34"/>
      <c r="M285" s="35"/>
      <c r="N285" s="34"/>
      <c r="O285" s="34"/>
      <c r="P285" s="34"/>
    </row>
    <row r="286" spans="1:16" ht="30" customHeight="1">
      <c r="A286" s="34"/>
      <c r="B286" s="34"/>
      <c r="C286" s="34"/>
      <c r="D286" s="34"/>
      <c r="E286" s="34"/>
      <c r="F286" s="34"/>
      <c r="G286" s="34"/>
      <c r="H286" s="34"/>
      <c r="I286" s="34"/>
      <c r="J286" s="34"/>
      <c r="K286" s="34"/>
      <c r="L286" s="34"/>
      <c r="M286" s="35"/>
      <c r="N286" s="34"/>
      <c r="O286" s="34"/>
      <c r="P286" s="34"/>
    </row>
    <row r="287" spans="1:16" ht="30" customHeight="1">
      <c r="A287" s="34"/>
      <c r="B287" s="34"/>
      <c r="C287" s="34"/>
      <c r="D287" s="34"/>
      <c r="E287" s="34"/>
      <c r="F287" s="34"/>
      <c r="G287" s="34"/>
      <c r="H287" s="34"/>
      <c r="I287" s="34"/>
      <c r="J287" s="34"/>
      <c r="K287" s="34"/>
      <c r="L287" s="34"/>
      <c r="M287" s="35"/>
      <c r="N287" s="34"/>
      <c r="O287" s="34"/>
      <c r="P287" s="34"/>
    </row>
    <row r="288" spans="1:16" ht="30" customHeight="1">
      <c r="A288" s="34"/>
      <c r="B288" s="34"/>
      <c r="C288" s="34"/>
      <c r="D288" s="34"/>
      <c r="E288" s="34"/>
      <c r="F288" s="34"/>
      <c r="G288" s="34"/>
      <c r="H288" s="34"/>
      <c r="I288" s="34"/>
      <c r="J288" s="34"/>
      <c r="K288" s="34"/>
      <c r="L288" s="34"/>
      <c r="M288" s="35"/>
      <c r="N288" s="34"/>
      <c r="O288" s="34"/>
      <c r="P288" s="34"/>
    </row>
    <row r="289" spans="1:16" ht="30" customHeight="1">
      <c r="A289" s="34"/>
      <c r="B289" s="34"/>
      <c r="C289" s="34"/>
      <c r="D289" s="34"/>
      <c r="E289" s="34"/>
      <c r="F289" s="34"/>
      <c r="G289" s="34"/>
      <c r="H289" s="34"/>
      <c r="I289" s="34"/>
      <c r="J289" s="34"/>
      <c r="K289" s="34"/>
      <c r="L289" s="34"/>
      <c r="M289" s="35"/>
      <c r="N289" s="34"/>
      <c r="O289" s="34"/>
      <c r="P289" s="34"/>
    </row>
    <row r="290" spans="1:16" ht="30" customHeight="1">
      <c r="A290" s="34"/>
      <c r="B290" s="34"/>
      <c r="C290" s="34"/>
      <c r="D290" s="34"/>
      <c r="E290" s="34"/>
      <c r="F290" s="34"/>
      <c r="G290" s="34"/>
      <c r="H290" s="34"/>
      <c r="I290" s="34"/>
      <c r="J290" s="34"/>
      <c r="K290" s="34"/>
      <c r="L290" s="34"/>
      <c r="M290" s="35"/>
      <c r="N290" s="34"/>
      <c r="O290" s="34"/>
      <c r="P290" s="34"/>
    </row>
    <row r="291" spans="1:16" ht="30" customHeight="1">
      <c r="A291" s="34"/>
      <c r="B291" s="34"/>
      <c r="C291" s="34"/>
      <c r="D291" s="34"/>
      <c r="E291" s="34"/>
      <c r="F291" s="34"/>
      <c r="G291" s="34"/>
      <c r="H291" s="34"/>
      <c r="I291" s="34"/>
      <c r="J291" s="34"/>
      <c r="K291" s="34"/>
      <c r="L291" s="34"/>
      <c r="M291" s="35"/>
      <c r="N291" s="34"/>
      <c r="O291" s="34"/>
      <c r="P291" s="34"/>
    </row>
    <row r="292" spans="1:16" ht="30" customHeight="1">
      <c r="A292" s="34"/>
      <c r="B292" s="34"/>
      <c r="C292" s="34"/>
      <c r="D292" s="34"/>
      <c r="E292" s="34"/>
      <c r="F292" s="34"/>
      <c r="G292" s="34"/>
      <c r="H292" s="34"/>
      <c r="I292" s="34"/>
      <c r="J292" s="34"/>
      <c r="K292" s="34"/>
      <c r="L292" s="34"/>
      <c r="M292" s="35"/>
      <c r="N292" s="34"/>
      <c r="O292" s="34"/>
      <c r="P292" s="34"/>
    </row>
    <row r="293" spans="1:16" ht="30" customHeight="1">
      <c r="A293" s="34"/>
      <c r="B293" s="34"/>
      <c r="C293" s="34"/>
      <c r="D293" s="34"/>
      <c r="E293" s="34"/>
      <c r="F293" s="34"/>
      <c r="G293" s="34"/>
      <c r="H293" s="34"/>
      <c r="I293" s="34"/>
      <c r="J293" s="34"/>
      <c r="K293" s="34"/>
      <c r="L293" s="34"/>
      <c r="M293" s="35"/>
      <c r="N293" s="34"/>
      <c r="O293" s="34"/>
      <c r="P293" s="34"/>
    </row>
    <row r="294" spans="1:16" ht="30" customHeight="1">
      <c r="A294" s="34"/>
      <c r="B294" s="34"/>
      <c r="C294" s="34"/>
      <c r="D294" s="34"/>
      <c r="E294" s="34"/>
      <c r="F294" s="34"/>
      <c r="G294" s="34"/>
      <c r="H294" s="34"/>
      <c r="I294" s="34"/>
      <c r="J294" s="34"/>
      <c r="K294" s="34"/>
      <c r="L294" s="34"/>
      <c r="M294" s="35"/>
      <c r="N294" s="34"/>
      <c r="O294" s="34"/>
      <c r="P294" s="34"/>
    </row>
    <row r="295" spans="1:16" ht="30" customHeight="1">
      <c r="A295" s="34"/>
      <c r="B295" s="34"/>
      <c r="C295" s="34"/>
      <c r="D295" s="34"/>
      <c r="E295" s="34"/>
      <c r="F295" s="34"/>
      <c r="G295" s="34"/>
      <c r="H295" s="34"/>
      <c r="I295" s="34"/>
      <c r="J295" s="34"/>
      <c r="K295" s="34"/>
      <c r="L295" s="34"/>
      <c r="M295" s="35"/>
      <c r="N295" s="34"/>
      <c r="O295" s="34"/>
      <c r="P295" s="34"/>
    </row>
    <row r="296" spans="1:16" ht="30" customHeight="1">
      <c r="A296" s="34"/>
      <c r="B296" s="34"/>
      <c r="C296" s="34"/>
      <c r="D296" s="34"/>
      <c r="E296" s="34"/>
      <c r="F296" s="34"/>
      <c r="G296" s="34"/>
      <c r="H296" s="34"/>
      <c r="I296" s="34"/>
      <c r="J296" s="34"/>
      <c r="K296" s="34"/>
      <c r="L296" s="34"/>
      <c r="M296" s="35"/>
      <c r="N296" s="34"/>
      <c r="O296" s="34"/>
      <c r="P296" s="34"/>
    </row>
    <row r="297" spans="1:16" ht="30" customHeight="1">
      <c r="A297" s="34"/>
      <c r="B297" s="34"/>
      <c r="C297" s="34"/>
      <c r="D297" s="34"/>
      <c r="E297" s="34"/>
      <c r="F297" s="34"/>
      <c r="G297" s="34"/>
      <c r="H297" s="34"/>
      <c r="I297" s="34"/>
      <c r="J297" s="34"/>
      <c r="K297" s="34"/>
      <c r="L297" s="34"/>
      <c r="M297" s="35"/>
      <c r="N297" s="34"/>
      <c r="O297" s="34"/>
      <c r="P297" s="34"/>
    </row>
    <row r="298" spans="1:16" ht="30" customHeight="1">
      <c r="A298" s="34"/>
      <c r="B298" s="34"/>
      <c r="C298" s="34"/>
      <c r="D298" s="34"/>
      <c r="E298" s="34"/>
      <c r="F298" s="34"/>
      <c r="G298" s="34"/>
      <c r="H298" s="34"/>
      <c r="I298" s="34"/>
      <c r="J298" s="34"/>
      <c r="K298" s="34"/>
      <c r="L298" s="34"/>
      <c r="M298" s="35"/>
      <c r="N298" s="34"/>
      <c r="O298" s="34"/>
      <c r="P298" s="34"/>
    </row>
    <row r="299" spans="1:16" ht="30" customHeight="1">
      <c r="A299" s="34"/>
      <c r="B299" s="34"/>
      <c r="C299" s="34"/>
      <c r="D299" s="34"/>
      <c r="E299" s="34"/>
      <c r="F299" s="34"/>
      <c r="G299" s="34"/>
      <c r="H299" s="34"/>
      <c r="I299" s="34"/>
      <c r="J299" s="34"/>
      <c r="K299" s="34"/>
      <c r="L299" s="34"/>
      <c r="M299" s="35"/>
      <c r="N299" s="34"/>
      <c r="O299" s="34"/>
      <c r="P299" s="34"/>
    </row>
    <row r="300" spans="1:16" ht="30" customHeight="1">
      <c r="A300" s="34"/>
      <c r="B300" s="34"/>
      <c r="C300" s="34"/>
      <c r="D300" s="34"/>
      <c r="E300" s="34"/>
      <c r="F300" s="34"/>
      <c r="G300" s="34"/>
      <c r="H300" s="34"/>
      <c r="I300" s="34"/>
      <c r="J300" s="34"/>
      <c r="K300" s="34"/>
      <c r="L300" s="34"/>
      <c r="M300" s="35"/>
      <c r="N300" s="34"/>
      <c r="O300" s="34"/>
      <c r="P300" s="34"/>
    </row>
  </sheetData>
  <autoFilter ref="A3:P300" xr:uid="{00000000-0009-0000-0000-000004000000}"/>
  <mergeCells count="2">
    <mergeCell ref="A1:P1"/>
    <mergeCell ref="A2:P2"/>
  </mergeCells>
  <conditionalFormatting sqref="I5:I300">
    <cfRule type="cellIs" dxfId="41" priority="2" operator="equal">
      <formula>"Pass"</formula>
    </cfRule>
    <cfRule type="cellIs" dxfId="40" priority="3" operator="equal">
      <formula>"Fail"</formula>
    </cfRule>
    <cfRule type="cellIs" dxfId="39" priority="4" operator="equal">
      <formula>"Blocked"</formula>
    </cfRule>
    <cfRule type="cellIs" dxfId="38" priority="5" operator="equal">
      <formula>"In Progress"</formula>
    </cfRule>
    <cfRule type="cellIs" dxfId="37" priority="6" operator="equal">
      <formula>"Not Executed"</formula>
    </cfRule>
    <cfRule type="cellIs" dxfId="36" priority="7" operator="equal">
      <formula>"Retest"</formula>
    </cfRule>
  </conditionalFormatting>
  <conditionalFormatting sqref="J5:J300">
    <cfRule type="cellIs" dxfId="35" priority="8" operator="equal">
      <formula>"Critical"</formula>
    </cfRule>
  </conditionalFormatting>
  <dataValidations count="5">
    <dataValidation type="list" allowBlank="1" errorTitle="Invalid Status" error="Please choose a status from the dropdown list." sqref="I5:I300" xr:uid="{00000000-0002-0000-0400-000000000000}">
      <formula1>List_Status</formula1>
      <formula2>0</formula2>
    </dataValidation>
    <dataValidation type="list" allowBlank="1" sqref="J5:J300" xr:uid="{00000000-0002-0000-0400-000001000000}">
      <formula1>List_Severity</formula1>
      <formula2>0</formula2>
    </dataValidation>
    <dataValidation type="list" allowBlank="1" sqref="K5:K300" xr:uid="{00000000-0002-0000-0400-000002000000}">
      <formula1>List_Priority</formula1>
      <formula2>0</formula2>
    </dataValidation>
    <dataValidation type="list" allowBlank="1" sqref="L5:L300" xr:uid="{00000000-0002-0000-0400-000003000000}">
      <formula1>List_Testers</formula1>
      <formula2>0</formula2>
    </dataValidation>
    <dataValidation type="list" allowBlank="1" sqref="N5:N300" xr:uid="{00000000-0002-0000-0400-000004000000}">
      <formula1>List_Environment</formula1>
      <formula2>0</formula2>
    </dataValidation>
  </dataValidations>
  <hyperlinks>
    <hyperlink ref="A2" r:id="rId1" location="'Main%20Dashboard'!A1" xr:uid="{00000000-0004-0000-0400-000000000000}"/>
    <hyperlink ref="F5" r:id="rId2" xr:uid="{63C58183-E42B-4193-B904-0734BF8B0027}"/>
    <hyperlink ref="F6" r:id="rId3" xr:uid="{1013CCC5-9A79-4955-B296-517D48E9C514}"/>
    <hyperlink ref="F7" r:id="rId4" xr:uid="{36203BA3-51E2-4FC1-8FC8-5BB51474BFC6}"/>
    <hyperlink ref="F8" r:id="rId5" xr:uid="{558AA202-0F58-403E-AE71-C241F1A4E200}"/>
    <hyperlink ref="F9" r:id="rId6" xr:uid="{CBB066BB-C85E-4C9D-A45D-9BD9D42E9836}"/>
    <hyperlink ref="F10" r:id="rId7" xr:uid="{8B93BD1D-DBF4-4FEB-8D8E-0FD932984755}"/>
    <hyperlink ref="F11" r:id="rId8" xr:uid="{ADC85BB5-19E5-454D-B893-163ECEE70FCB}"/>
    <hyperlink ref="F12" r:id="rId9" xr:uid="{52F2EFB6-A93F-4F57-8789-5FC1C0E3448E}"/>
    <hyperlink ref="F13" r:id="rId10" xr:uid="{3B27F57A-531D-4D2C-9903-4F6B5A00BEE0}"/>
    <hyperlink ref="F14" r:id="rId11" xr:uid="{A5113759-7605-46F4-A33E-AD1B51DD4F24}"/>
    <hyperlink ref="F15" r:id="rId12" xr:uid="{342F4304-25E1-4A4F-B811-B7C406D5F313}"/>
    <hyperlink ref="F16" r:id="rId13" xr:uid="{5C9EF6FE-DEC0-44DE-8FE9-A07E2CAA68A8}"/>
    <hyperlink ref="F17" r:id="rId14" xr:uid="{2FF3974D-0598-48CC-9AE7-09B409FCE8A1}"/>
    <hyperlink ref="F18" r:id="rId15" xr:uid="{5B501736-48D0-44E7-BA15-7DF5FE544C1F}"/>
    <hyperlink ref="F19" r:id="rId16" xr:uid="{A52CD02E-3143-4E4E-A76D-9E2963A798DC}"/>
    <hyperlink ref="F20" r:id="rId17" xr:uid="{DD5BAF3C-E41B-4EE7-ADB4-3F16625E63F9}"/>
    <hyperlink ref="F21" r:id="rId18" xr:uid="{70BB203A-97BC-4123-A3B3-7CE42A720235}"/>
    <hyperlink ref="F22" r:id="rId19" xr:uid="{FAF98A67-B811-42E5-A6C2-E23CBB3398D9}"/>
    <hyperlink ref="F23" r:id="rId20" xr:uid="{167DF888-6F12-4F69-9E94-34367146C441}"/>
    <hyperlink ref="F24" r:id="rId21" xr:uid="{A46AE432-6B1D-4938-A6EA-211EF9D5D63B}"/>
    <hyperlink ref="F25" r:id="rId22" xr:uid="{A9A18A79-287A-43DA-BDDF-B9310470ABBE}"/>
    <hyperlink ref="F26" r:id="rId23" xr:uid="{8A6C91FA-211F-42AE-9E70-69821ECD2168}"/>
    <hyperlink ref="F27" r:id="rId24" xr:uid="{A598EAD7-A77B-4FA8-9795-5433BAD8F833}"/>
    <hyperlink ref="F28" r:id="rId25" xr:uid="{CE466958-E408-4E81-88D2-D5627FCDD6FE}"/>
    <hyperlink ref="F29" r:id="rId26" xr:uid="{5B51453E-0071-499D-AAB4-A659825A6175}"/>
    <hyperlink ref="F30" r:id="rId27" xr:uid="{C719DEFB-454A-4073-9E29-374F4D5180DB}"/>
    <hyperlink ref="F31" r:id="rId28" xr:uid="{6E518E91-697A-461A-A57D-F7F9C7B1F174}"/>
    <hyperlink ref="F32" r:id="rId29" xr:uid="{E35FB028-C045-4FB0-ABE2-893F700A0BE7}"/>
    <hyperlink ref="F33" r:id="rId30" xr:uid="{17BC7F53-D3B9-4329-9DAB-33696C224A73}"/>
    <hyperlink ref="F34" r:id="rId31" xr:uid="{5671430F-63CF-4675-8F9C-6E0B788FFE56}"/>
    <hyperlink ref="F35" r:id="rId32" xr:uid="{65CC67BD-D501-4249-AB09-0C162DF0A636}"/>
    <hyperlink ref="F36" r:id="rId33" xr:uid="{8329A968-6CA4-4CEC-9DCD-6BE94DBAB0CE}"/>
    <hyperlink ref="F37" r:id="rId34" xr:uid="{B583392D-D5D5-437E-B568-A4D22C327381}"/>
    <hyperlink ref="F38" r:id="rId35" xr:uid="{924BB292-8DCE-4354-9152-E61AE64BA1DF}"/>
    <hyperlink ref="F39" r:id="rId36" xr:uid="{75B9C31C-C56A-4B7D-B934-BF9A2651CA54}"/>
    <hyperlink ref="F40" r:id="rId37" xr:uid="{F7346692-A574-4175-BB6D-F84F868B03F7}"/>
    <hyperlink ref="F41" r:id="rId38" xr:uid="{1666F84A-5CB0-477D-99BE-A9D448D5C433}"/>
    <hyperlink ref="F42" r:id="rId39" xr:uid="{8F37A525-35B1-4289-8F6F-320C0E8BD8CF}"/>
  </hyperlinks>
  <pageMargins left="0.75" right="0.75" top="1" bottom="1" header="0.511811023622047" footer="0.511811023622047"/>
  <pageSetup paperSize="9" orientation="portrait" horizontalDpi="300" verticalDpi="300"/>
  <legacyDrawing r:id="rId4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5B6"/>
  </sheetPr>
  <dimension ref="A1:P300"/>
  <sheetViews>
    <sheetView showGridLines="0" zoomScaleNormal="100" workbookViewId="0">
      <pane ySplit="3" topLeftCell="G4" activePane="bottomLeft" state="frozen"/>
      <selection pane="bottomLeft" activeCell="J7" sqref="J7"/>
    </sheetView>
  </sheetViews>
  <sheetFormatPr defaultColWidth="8.7109375" defaultRowHeight="15"/>
  <cols>
    <col min="1" max="1" width="12" customWidth="1"/>
    <col min="2" max="2" width="20" customWidth="1"/>
    <col min="3" max="3" width="26" customWidth="1"/>
    <col min="4" max="4" width="34" customWidth="1"/>
    <col min="5" max="5" width="22" customWidth="1"/>
    <col min="6" max="6" width="20" customWidth="1"/>
    <col min="7" max="8" width="28" customWidth="1"/>
    <col min="9" max="9" width="14" customWidth="1"/>
    <col min="10" max="10" width="12" customWidth="1"/>
    <col min="11" max="12" width="14" customWidth="1"/>
    <col min="13" max="13" width="13" customWidth="1"/>
    <col min="14" max="14" width="12" customWidth="1"/>
    <col min="15" max="15" width="18" customWidth="1"/>
    <col min="16" max="16" width="26" customWidth="1"/>
  </cols>
  <sheetData>
    <row r="1" spans="1:16" ht="31.5" customHeight="1">
      <c r="A1" s="122" t="s">
        <v>796</v>
      </c>
      <c r="B1" s="122"/>
      <c r="C1" s="122"/>
      <c r="D1" s="122"/>
      <c r="E1" s="122"/>
      <c r="F1" s="122"/>
      <c r="G1" s="122"/>
      <c r="H1" s="122"/>
      <c r="I1" s="122"/>
      <c r="J1" s="122"/>
      <c r="K1" s="122"/>
      <c r="L1" s="122"/>
      <c r="M1" s="122"/>
      <c r="N1" s="122"/>
      <c r="O1" s="122"/>
      <c r="P1" s="122"/>
    </row>
    <row r="2" spans="1:16" ht="18" customHeight="1">
      <c r="A2" s="123" t="s">
        <v>32</v>
      </c>
      <c r="B2" s="123"/>
      <c r="C2" s="123"/>
      <c r="D2" s="123"/>
      <c r="E2" s="123"/>
      <c r="F2" s="123"/>
      <c r="G2" s="123"/>
      <c r="H2" s="123"/>
      <c r="I2" s="123"/>
      <c r="J2" s="123"/>
      <c r="K2" s="123"/>
      <c r="L2" s="123"/>
      <c r="M2" s="123"/>
      <c r="N2" s="123"/>
      <c r="O2" s="123"/>
      <c r="P2" s="123"/>
    </row>
    <row r="3" spans="1:16" ht="30" customHeight="1">
      <c r="A3" s="31" t="s">
        <v>50</v>
      </c>
      <c r="B3" s="31" t="s">
        <v>53</v>
      </c>
      <c r="C3" s="31" t="s">
        <v>56</v>
      </c>
      <c r="D3" s="31" t="s">
        <v>59</v>
      </c>
      <c r="E3" s="31" t="s">
        <v>62</v>
      </c>
      <c r="F3" s="31" t="s">
        <v>65</v>
      </c>
      <c r="G3" s="31" t="s">
        <v>68</v>
      </c>
      <c r="H3" s="31" t="s">
        <v>71</v>
      </c>
      <c r="I3" s="31" t="s">
        <v>74</v>
      </c>
      <c r="J3" s="31" t="s">
        <v>77</v>
      </c>
      <c r="K3" s="31" t="s">
        <v>80</v>
      </c>
      <c r="L3" s="31" t="s">
        <v>83</v>
      </c>
      <c r="M3" s="31" t="s">
        <v>86</v>
      </c>
      <c r="N3" s="31" t="s">
        <v>89</v>
      </c>
      <c r="O3" s="31" t="s">
        <v>92</v>
      </c>
      <c r="P3" s="31" t="s">
        <v>95</v>
      </c>
    </row>
    <row r="4" spans="1:16" ht="60" customHeight="1">
      <c r="A4" s="32" t="s">
        <v>121</v>
      </c>
      <c r="B4" s="33" t="s">
        <v>122</v>
      </c>
      <c r="C4" s="33" t="s">
        <v>123</v>
      </c>
      <c r="D4" s="33" t="s">
        <v>151</v>
      </c>
      <c r="E4" s="33" t="s">
        <v>125</v>
      </c>
      <c r="F4" s="33" t="s">
        <v>126</v>
      </c>
      <c r="G4" s="33" t="s">
        <v>152</v>
      </c>
      <c r="H4" s="33" t="s">
        <v>128</v>
      </c>
      <c r="I4" s="33" t="s">
        <v>102</v>
      </c>
      <c r="J4" s="33" t="s">
        <v>115</v>
      </c>
      <c r="K4" s="33" t="s">
        <v>129</v>
      </c>
      <c r="L4" s="33" t="s">
        <v>130</v>
      </c>
      <c r="M4" s="33" t="s">
        <v>131</v>
      </c>
      <c r="N4" s="33" t="s">
        <v>132</v>
      </c>
      <c r="O4" s="33" t="s">
        <v>153</v>
      </c>
      <c r="P4" s="33" t="s">
        <v>154</v>
      </c>
    </row>
    <row r="5" spans="1:16" ht="30" customHeight="1">
      <c r="A5" s="42" t="s">
        <v>797</v>
      </c>
      <c r="B5" s="42" t="s">
        <v>798</v>
      </c>
      <c r="C5" s="42" t="s">
        <v>799</v>
      </c>
      <c r="D5" s="42" t="s">
        <v>800</v>
      </c>
      <c r="E5" s="42" t="s">
        <v>801</v>
      </c>
      <c r="F5" s="44" t="s">
        <v>802</v>
      </c>
      <c r="G5" s="42" t="s">
        <v>803</v>
      </c>
      <c r="H5" s="42" t="s">
        <v>804</v>
      </c>
      <c r="I5" s="42" t="s">
        <v>102</v>
      </c>
      <c r="J5" s="42" t="s">
        <v>117</v>
      </c>
      <c r="K5" s="42" t="s">
        <v>147</v>
      </c>
      <c r="L5" s="42" t="s">
        <v>631</v>
      </c>
      <c r="M5" s="50">
        <v>46251</v>
      </c>
      <c r="N5" s="42" t="s">
        <v>132</v>
      </c>
      <c r="O5" s="42"/>
      <c r="P5" s="42"/>
    </row>
    <row r="6" spans="1:16" ht="63.75" customHeight="1">
      <c r="A6" s="42" t="s">
        <v>805</v>
      </c>
      <c r="B6" s="42" t="s">
        <v>798</v>
      </c>
      <c r="C6" s="42" t="s">
        <v>806</v>
      </c>
      <c r="D6" s="42" t="s">
        <v>807</v>
      </c>
      <c r="E6" s="42" t="s">
        <v>808</v>
      </c>
      <c r="F6" s="44" t="s">
        <v>809</v>
      </c>
      <c r="G6" s="42" t="s">
        <v>629</v>
      </c>
      <c r="H6" s="42" t="s">
        <v>810</v>
      </c>
      <c r="I6" s="42" t="s">
        <v>104</v>
      </c>
      <c r="J6" s="42" t="s">
        <v>113</v>
      </c>
      <c r="K6" s="42" t="s">
        <v>129</v>
      </c>
      <c r="L6" s="42" t="s">
        <v>631</v>
      </c>
      <c r="M6" s="50">
        <v>46251</v>
      </c>
      <c r="N6" s="42" t="s">
        <v>811</v>
      </c>
      <c r="O6" s="42"/>
      <c r="P6" s="42"/>
    </row>
    <row r="7" spans="1:16" ht="79.5" customHeight="1">
      <c r="A7" s="42" t="s">
        <v>812</v>
      </c>
      <c r="B7" s="42" t="s">
        <v>798</v>
      </c>
      <c r="C7" s="42" t="s">
        <v>806</v>
      </c>
      <c r="D7" s="42" t="s">
        <v>813</v>
      </c>
      <c r="E7" s="42" t="s">
        <v>814</v>
      </c>
      <c r="F7" s="42"/>
      <c r="G7" s="76" t="s">
        <v>815</v>
      </c>
      <c r="H7" s="42" t="s">
        <v>816</v>
      </c>
      <c r="I7" s="42" t="s">
        <v>104</v>
      </c>
      <c r="J7" s="42"/>
      <c r="K7" s="42" t="s">
        <v>817</v>
      </c>
      <c r="L7" s="42" t="s">
        <v>818</v>
      </c>
      <c r="M7" s="50">
        <v>46252</v>
      </c>
      <c r="N7" s="42" t="s">
        <v>146</v>
      </c>
      <c r="O7" s="42" t="s">
        <v>819</v>
      </c>
      <c r="P7" s="42"/>
    </row>
    <row r="8" spans="1:16" ht="30" customHeight="1">
      <c r="A8" s="42"/>
      <c r="B8" s="42"/>
      <c r="C8" s="42"/>
      <c r="D8" s="42"/>
      <c r="E8" s="42"/>
      <c r="F8" s="42"/>
      <c r="H8" s="42"/>
      <c r="I8" s="42"/>
      <c r="J8" s="42"/>
      <c r="K8" s="42"/>
      <c r="L8" s="42"/>
      <c r="M8" s="50"/>
      <c r="N8" s="42"/>
      <c r="O8" s="42"/>
      <c r="P8" s="42"/>
    </row>
    <row r="9" spans="1:16" ht="30" customHeight="1">
      <c r="A9" s="42"/>
      <c r="B9" s="42"/>
      <c r="C9" s="42"/>
      <c r="D9" s="42"/>
      <c r="E9" s="42"/>
      <c r="F9" s="42"/>
      <c r="H9" s="42"/>
      <c r="I9" s="42"/>
      <c r="J9" s="42"/>
      <c r="K9" s="42"/>
      <c r="L9" s="42"/>
      <c r="M9" s="50"/>
      <c r="N9" s="42"/>
      <c r="O9" s="42"/>
      <c r="P9" s="42"/>
    </row>
    <row r="10" spans="1:16" ht="30" customHeight="1">
      <c r="A10" s="42"/>
      <c r="B10" s="42"/>
      <c r="C10" s="42"/>
      <c r="D10" s="42"/>
      <c r="E10" s="42"/>
      <c r="F10" s="42"/>
      <c r="G10" s="42"/>
      <c r="H10" s="42"/>
      <c r="I10" s="42"/>
      <c r="J10" s="42"/>
      <c r="K10" s="42"/>
      <c r="L10" s="42"/>
      <c r="M10" s="50"/>
      <c r="N10" s="42"/>
      <c r="O10" s="42"/>
      <c r="P10" s="42"/>
    </row>
    <row r="11" spans="1:16" ht="30" customHeight="1">
      <c r="A11" s="42"/>
      <c r="B11" s="42"/>
      <c r="C11" s="42"/>
      <c r="D11" s="42"/>
      <c r="E11" s="42"/>
      <c r="F11" s="42"/>
      <c r="G11" s="42"/>
      <c r="H11" s="42"/>
      <c r="I11" s="42"/>
      <c r="J11" s="42"/>
      <c r="K11" s="42"/>
      <c r="L11" s="42"/>
      <c r="M11" s="50"/>
      <c r="N11" s="42"/>
      <c r="O11" s="42"/>
      <c r="P11" s="42"/>
    </row>
    <row r="12" spans="1:16" ht="30" customHeight="1">
      <c r="A12" s="42"/>
      <c r="B12" s="42"/>
      <c r="C12" s="42"/>
      <c r="D12" s="42"/>
      <c r="E12" s="42"/>
      <c r="F12" s="42"/>
      <c r="G12" s="42"/>
      <c r="H12" s="42"/>
      <c r="I12" s="42"/>
      <c r="J12" s="42"/>
      <c r="K12" s="42"/>
      <c r="L12" s="42"/>
      <c r="M12" s="50"/>
      <c r="N12" s="42"/>
      <c r="O12" s="42"/>
      <c r="P12" s="42"/>
    </row>
    <row r="13" spans="1:16" ht="30" customHeight="1">
      <c r="A13" s="42"/>
      <c r="B13" s="42"/>
      <c r="C13" s="42"/>
      <c r="D13" s="42"/>
      <c r="E13" s="42"/>
      <c r="F13" s="42"/>
      <c r="G13" s="42"/>
      <c r="H13" s="42"/>
      <c r="I13" s="42"/>
      <c r="J13" s="42"/>
      <c r="K13" s="42"/>
      <c r="L13" s="42"/>
      <c r="M13" s="50"/>
      <c r="N13" s="42"/>
      <c r="O13" s="42"/>
      <c r="P13" s="42"/>
    </row>
    <row r="14" spans="1:16" ht="30" customHeight="1">
      <c r="A14" s="42"/>
      <c r="B14" s="42"/>
      <c r="C14" s="42"/>
      <c r="D14" s="42"/>
      <c r="E14" s="42"/>
      <c r="F14" s="42"/>
      <c r="G14" s="42"/>
      <c r="H14" s="42"/>
      <c r="I14" s="42"/>
      <c r="J14" s="42"/>
      <c r="K14" s="42"/>
      <c r="L14" s="42"/>
      <c r="M14" s="50"/>
      <c r="N14" s="42"/>
      <c r="O14" s="42"/>
      <c r="P14" s="42"/>
    </row>
    <row r="15" spans="1:16" ht="30" customHeight="1">
      <c r="A15" s="42"/>
      <c r="B15" s="42"/>
      <c r="C15" s="42"/>
      <c r="D15" s="42"/>
      <c r="E15" s="42"/>
      <c r="F15" s="42"/>
      <c r="G15" s="42"/>
      <c r="H15" s="42"/>
      <c r="I15" s="42"/>
      <c r="J15" s="42"/>
      <c r="K15" s="42"/>
      <c r="L15" s="42"/>
      <c r="M15" s="50"/>
      <c r="N15" s="42"/>
      <c r="O15" s="42"/>
      <c r="P15" s="42"/>
    </row>
    <row r="16" spans="1:16" ht="30" customHeight="1">
      <c r="A16" s="42"/>
      <c r="B16" s="42"/>
      <c r="C16" s="42"/>
      <c r="D16" s="42"/>
      <c r="E16" s="42"/>
      <c r="F16" s="42"/>
      <c r="G16" s="42"/>
      <c r="H16" s="42"/>
      <c r="I16" s="42"/>
      <c r="J16" s="42"/>
      <c r="K16" s="42"/>
      <c r="L16" s="42"/>
      <c r="M16" s="50"/>
      <c r="N16" s="42"/>
      <c r="O16" s="42"/>
      <c r="P16" s="42"/>
    </row>
    <row r="17" spans="1:16" ht="30" customHeight="1">
      <c r="A17" s="42"/>
      <c r="B17" s="42"/>
      <c r="C17" s="42"/>
      <c r="D17" s="42"/>
      <c r="E17" s="42"/>
      <c r="F17" s="42"/>
      <c r="G17" s="42"/>
      <c r="H17" s="42"/>
      <c r="I17" s="42"/>
      <c r="J17" s="42"/>
      <c r="K17" s="42"/>
      <c r="L17" s="42"/>
      <c r="M17" s="50"/>
      <c r="N17" s="42"/>
      <c r="O17" s="42"/>
      <c r="P17" s="42"/>
    </row>
    <row r="18" spans="1:16" ht="30" customHeight="1">
      <c r="A18" s="42"/>
      <c r="B18" s="42"/>
      <c r="C18" s="42"/>
      <c r="D18" s="42"/>
      <c r="E18" s="42"/>
      <c r="F18" s="42"/>
      <c r="G18" s="42"/>
      <c r="H18" s="42"/>
      <c r="I18" s="42"/>
      <c r="J18" s="42"/>
      <c r="K18" s="42"/>
      <c r="L18" s="42"/>
      <c r="M18" s="50"/>
      <c r="N18" s="42"/>
      <c r="O18" s="42"/>
      <c r="P18" s="42"/>
    </row>
    <row r="19" spans="1:16" ht="30" customHeight="1">
      <c r="A19" s="42"/>
      <c r="B19" s="42"/>
      <c r="C19" s="42"/>
      <c r="D19" s="42"/>
      <c r="E19" s="42"/>
      <c r="F19" s="42"/>
      <c r="G19" s="42"/>
      <c r="H19" s="42"/>
      <c r="I19" s="42"/>
      <c r="J19" s="42"/>
      <c r="K19" s="42"/>
      <c r="L19" s="42"/>
      <c r="M19" s="50"/>
      <c r="N19" s="42"/>
      <c r="O19" s="42"/>
      <c r="P19" s="42"/>
    </row>
    <row r="20" spans="1:16" ht="30" customHeight="1">
      <c r="A20" s="42"/>
      <c r="B20" s="42"/>
      <c r="C20" s="42"/>
      <c r="D20" s="42"/>
      <c r="E20" s="42"/>
      <c r="F20" s="42"/>
      <c r="G20" s="42"/>
      <c r="H20" s="42"/>
      <c r="I20" s="42"/>
      <c r="J20" s="42"/>
      <c r="K20" s="42"/>
      <c r="L20" s="42"/>
      <c r="M20" s="50"/>
      <c r="N20" s="42"/>
      <c r="O20" s="42"/>
      <c r="P20" s="42"/>
    </row>
    <row r="21" spans="1:16" ht="30" customHeight="1">
      <c r="A21" s="42"/>
      <c r="B21" s="42"/>
      <c r="C21" s="42"/>
      <c r="D21" s="42"/>
      <c r="E21" s="42"/>
      <c r="F21" s="42"/>
      <c r="G21" s="42"/>
      <c r="H21" s="42"/>
      <c r="I21" s="42"/>
      <c r="J21" s="42"/>
      <c r="K21" s="42"/>
      <c r="L21" s="42"/>
      <c r="M21" s="50"/>
      <c r="N21" s="42"/>
      <c r="O21" s="42"/>
      <c r="P21" s="42"/>
    </row>
    <row r="22" spans="1:16" ht="30" customHeight="1">
      <c r="A22" s="42"/>
      <c r="B22" s="42"/>
      <c r="C22" s="42"/>
      <c r="D22" s="42"/>
      <c r="E22" s="42"/>
      <c r="F22" s="42"/>
      <c r="G22" s="42"/>
      <c r="H22" s="42"/>
      <c r="I22" s="42"/>
      <c r="J22" s="42"/>
      <c r="K22" s="42"/>
      <c r="L22" s="42"/>
      <c r="M22" s="50"/>
      <c r="N22" s="42"/>
      <c r="O22" s="42"/>
      <c r="P22" s="42"/>
    </row>
    <row r="23" spans="1:16" ht="30" customHeight="1">
      <c r="A23" s="42"/>
      <c r="B23" s="42"/>
      <c r="C23" s="42"/>
      <c r="D23" s="42"/>
      <c r="E23" s="42"/>
      <c r="F23" s="42"/>
      <c r="G23" s="42"/>
      <c r="H23" s="42"/>
      <c r="I23" s="42"/>
      <c r="J23" s="42"/>
      <c r="K23" s="42"/>
      <c r="L23" s="42"/>
      <c r="M23" s="50"/>
      <c r="N23" s="42"/>
      <c r="O23" s="42"/>
      <c r="P23" s="42"/>
    </row>
    <row r="24" spans="1:16" ht="30" customHeight="1">
      <c r="A24" s="42"/>
      <c r="B24" s="42"/>
      <c r="C24" s="42"/>
      <c r="D24" s="42"/>
      <c r="E24" s="42"/>
      <c r="F24" s="42"/>
      <c r="G24" s="42"/>
      <c r="H24" s="42"/>
      <c r="I24" s="42"/>
      <c r="J24" s="42"/>
      <c r="K24" s="42"/>
      <c r="L24" s="42"/>
      <c r="M24" s="50"/>
      <c r="N24" s="42"/>
      <c r="O24" s="42"/>
      <c r="P24" s="42"/>
    </row>
    <row r="25" spans="1:16" ht="30" customHeight="1">
      <c r="A25" s="42"/>
      <c r="B25" s="42"/>
      <c r="C25" s="42"/>
      <c r="D25" s="42"/>
      <c r="E25" s="42"/>
      <c r="F25" s="42"/>
      <c r="G25" s="42"/>
      <c r="H25" s="42"/>
      <c r="I25" s="42"/>
      <c r="J25" s="42"/>
      <c r="K25" s="42"/>
      <c r="L25" s="42"/>
      <c r="M25" s="50"/>
      <c r="N25" s="42"/>
      <c r="O25" s="42"/>
      <c r="P25" s="42"/>
    </row>
    <row r="26" spans="1:16" ht="30" customHeight="1">
      <c r="A26" s="42"/>
      <c r="B26" s="42"/>
      <c r="C26" s="42"/>
      <c r="D26" s="42"/>
      <c r="E26" s="42"/>
      <c r="F26" s="42"/>
      <c r="G26" s="42"/>
      <c r="H26" s="42"/>
      <c r="I26" s="42"/>
      <c r="J26" s="42"/>
      <c r="K26" s="42"/>
      <c r="L26" s="42"/>
      <c r="M26" s="50"/>
      <c r="N26" s="42"/>
      <c r="O26" s="42"/>
      <c r="P26" s="42"/>
    </row>
    <row r="27" spans="1:16" ht="30" customHeight="1">
      <c r="A27" s="42"/>
      <c r="B27" s="42"/>
      <c r="C27" s="42"/>
      <c r="D27" s="42"/>
      <c r="E27" s="42"/>
      <c r="F27" s="42"/>
      <c r="G27" s="42"/>
      <c r="H27" s="42"/>
      <c r="I27" s="42"/>
      <c r="J27" s="42"/>
      <c r="K27" s="42"/>
      <c r="L27" s="42"/>
      <c r="M27" s="50"/>
      <c r="N27" s="42"/>
      <c r="O27" s="42"/>
      <c r="P27" s="42"/>
    </row>
    <row r="28" spans="1:16" ht="30" customHeight="1">
      <c r="A28" s="42"/>
      <c r="B28" s="42"/>
      <c r="C28" s="42"/>
      <c r="D28" s="42"/>
      <c r="E28" s="42"/>
      <c r="F28" s="42"/>
      <c r="G28" s="42"/>
      <c r="H28" s="42"/>
      <c r="I28" s="42"/>
      <c r="J28" s="42"/>
      <c r="K28" s="42"/>
      <c r="L28" s="42"/>
      <c r="M28" s="50"/>
      <c r="N28" s="42"/>
      <c r="O28" s="42"/>
      <c r="P28" s="42"/>
    </row>
    <row r="29" spans="1:16" ht="30" customHeight="1">
      <c r="A29" s="42"/>
      <c r="B29" s="42"/>
      <c r="C29" s="42"/>
      <c r="D29" s="42"/>
      <c r="E29" s="42"/>
      <c r="F29" s="42"/>
      <c r="G29" s="42"/>
      <c r="H29" s="42"/>
      <c r="I29" s="42"/>
      <c r="J29" s="42"/>
      <c r="K29" s="42"/>
      <c r="L29" s="42"/>
      <c r="M29" s="50"/>
      <c r="N29" s="42"/>
      <c r="O29" s="42"/>
      <c r="P29" s="42"/>
    </row>
    <row r="30" spans="1:16" ht="30" customHeight="1">
      <c r="A30" s="42"/>
      <c r="B30" s="42"/>
      <c r="C30" s="42"/>
      <c r="D30" s="42"/>
      <c r="E30" s="42"/>
      <c r="F30" s="42"/>
      <c r="G30" s="42"/>
      <c r="H30" s="42"/>
      <c r="I30" s="42"/>
      <c r="J30" s="42"/>
      <c r="K30" s="42"/>
      <c r="L30" s="42"/>
      <c r="M30" s="50"/>
      <c r="N30" s="42"/>
      <c r="O30" s="42"/>
      <c r="P30" s="42"/>
    </row>
    <row r="31" spans="1:16" ht="30" customHeight="1">
      <c r="A31" s="42"/>
      <c r="B31" s="42"/>
      <c r="C31" s="42"/>
      <c r="D31" s="42"/>
      <c r="E31" s="42"/>
      <c r="F31" s="42"/>
      <c r="G31" s="42"/>
      <c r="H31" s="42"/>
      <c r="I31" s="42"/>
      <c r="J31" s="42"/>
      <c r="K31" s="42"/>
      <c r="L31" s="42"/>
      <c r="M31" s="50"/>
      <c r="N31" s="42"/>
      <c r="O31" s="42"/>
      <c r="P31" s="42"/>
    </row>
    <row r="32" spans="1:16" ht="30" customHeight="1">
      <c r="A32" s="42"/>
      <c r="B32" s="42"/>
      <c r="C32" s="42"/>
      <c r="D32" s="42"/>
      <c r="E32" s="42"/>
      <c r="F32" s="42"/>
      <c r="G32" s="42"/>
      <c r="H32" s="42"/>
      <c r="I32" s="42"/>
      <c r="J32" s="42"/>
      <c r="K32" s="42"/>
      <c r="L32" s="42"/>
      <c r="M32" s="50"/>
      <c r="N32" s="42"/>
      <c r="O32" s="42"/>
      <c r="P32" s="42"/>
    </row>
    <row r="33" spans="1:16" ht="30" customHeight="1">
      <c r="A33" s="42"/>
      <c r="B33" s="42"/>
      <c r="C33" s="42"/>
      <c r="D33" s="42"/>
      <c r="E33" s="42"/>
      <c r="F33" s="42"/>
      <c r="G33" s="42"/>
      <c r="H33" s="42"/>
      <c r="I33" s="42"/>
      <c r="J33" s="42"/>
      <c r="K33" s="42"/>
      <c r="L33" s="42"/>
      <c r="M33" s="50"/>
      <c r="N33" s="42"/>
      <c r="O33" s="42"/>
      <c r="P33" s="42"/>
    </row>
    <row r="34" spans="1:16" ht="30" customHeight="1">
      <c r="A34" s="42"/>
      <c r="B34" s="42"/>
      <c r="C34" s="42"/>
      <c r="D34" s="42"/>
      <c r="E34" s="42"/>
      <c r="F34" s="42"/>
      <c r="G34" s="42"/>
      <c r="H34" s="42"/>
      <c r="I34" s="42"/>
      <c r="J34" s="42"/>
      <c r="K34" s="42"/>
      <c r="L34" s="42"/>
      <c r="M34" s="50"/>
      <c r="N34" s="42"/>
      <c r="O34" s="42"/>
      <c r="P34" s="42"/>
    </row>
    <row r="35" spans="1:16" ht="30" customHeight="1">
      <c r="A35" s="42"/>
      <c r="B35" s="42"/>
      <c r="C35" s="42"/>
      <c r="D35" s="42"/>
      <c r="E35" s="42"/>
      <c r="F35" s="42"/>
      <c r="G35" s="42"/>
      <c r="H35" s="42"/>
      <c r="I35" s="42"/>
      <c r="J35" s="42"/>
      <c r="K35" s="42"/>
      <c r="L35" s="42"/>
      <c r="M35" s="50"/>
      <c r="N35" s="42"/>
      <c r="O35" s="42"/>
      <c r="P35" s="42"/>
    </row>
    <row r="36" spans="1:16" ht="30" customHeight="1">
      <c r="A36" s="42"/>
      <c r="B36" s="42"/>
      <c r="C36" s="42"/>
      <c r="D36" s="42"/>
      <c r="E36" s="42"/>
      <c r="F36" s="42"/>
      <c r="G36" s="42"/>
      <c r="H36" s="42"/>
      <c r="I36" s="42"/>
      <c r="J36" s="42"/>
      <c r="K36" s="42"/>
      <c r="L36" s="42"/>
      <c r="M36" s="50"/>
      <c r="N36" s="42"/>
      <c r="O36" s="42"/>
      <c r="P36" s="42"/>
    </row>
    <row r="37" spans="1:16" ht="30" customHeight="1">
      <c r="A37" s="42"/>
      <c r="B37" s="42"/>
      <c r="C37" s="42"/>
      <c r="D37" s="42"/>
      <c r="E37" s="42"/>
      <c r="F37" s="42"/>
      <c r="G37" s="42"/>
      <c r="H37" s="42"/>
      <c r="I37" s="42"/>
      <c r="J37" s="42"/>
      <c r="K37" s="42"/>
      <c r="L37" s="42"/>
      <c r="M37" s="50"/>
      <c r="N37" s="42"/>
      <c r="O37" s="42"/>
      <c r="P37" s="42"/>
    </row>
    <row r="38" spans="1:16" ht="30" customHeight="1">
      <c r="A38" s="42"/>
      <c r="B38" s="42"/>
      <c r="C38" s="42"/>
      <c r="D38" s="42"/>
      <c r="E38" s="42"/>
      <c r="F38" s="42"/>
      <c r="G38" s="42"/>
      <c r="H38" s="42"/>
      <c r="I38" s="42"/>
      <c r="J38" s="42"/>
      <c r="K38" s="42"/>
      <c r="L38" s="42"/>
      <c r="M38" s="50"/>
      <c r="N38" s="42"/>
      <c r="O38" s="42"/>
      <c r="P38" s="42"/>
    </row>
    <row r="39" spans="1:16" ht="30" customHeight="1">
      <c r="A39" s="42"/>
      <c r="B39" s="42"/>
      <c r="C39" s="42"/>
      <c r="D39" s="42"/>
      <c r="E39" s="42"/>
      <c r="F39" s="42"/>
      <c r="G39" s="42"/>
      <c r="H39" s="42"/>
      <c r="I39" s="42"/>
      <c r="J39" s="42"/>
      <c r="K39" s="42"/>
      <c r="L39" s="42"/>
      <c r="M39" s="50"/>
      <c r="N39" s="42"/>
      <c r="O39" s="42"/>
      <c r="P39" s="42"/>
    </row>
    <row r="40" spans="1:16" ht="30" customHeight="1">
      <c r="A40" s="34"/>
      <c r="B40" s="34"/>
      <c r="C40" s="34"/>
      <c r="D40" s="34"/>
      <c r="E40" s="34"/>
      <c r="F40" s="34"/>
      <c r="G40" s="34"/>
      <c r="H40" s="34"/>
      <c r="I40" s="34"/>
      <c r="J40" s="34"/>
      <c r="K40" s="34"/>
      <c r="L40" s="34"/>
      <c r="M40" s="35"/>
      <c r="N40" s="34"/>
      <c r="O40" s="34"/>
      <c r="P40" s="34"/>
    </row>
    <row r="41" spans="1:16" ht="30" customHeight="1">
      <c r="A41" s="34"/>
      <c r="B41" s="34"/>
      <c r="C41" s="34"/>
      <c r="D41" s="34"/>
      <c r="E41" s="34"/>
      <c r="F41" s="34"/>
      <c r="G41" s="34"/>
      <c r="H41" s="34"/>
      <c r="I41" s="34"/>
      <c r="J41" s="34"/>
      <c r="K41" s="34"/>
      <c r="L41" s="34"/>
      <c r="M41" s="35"/>
      <c r="N41" s="34"/>
      <c r="O41" s="34"/>
      <c r="P41" s="34"/>
    </row>
    <row r="42" spans="1:16" ht="30" customHeight="1">
      <c r="A42" s="34"/>
      <c r="B42" s="34"/>
      <c r="C42" s="34"/>
      <c r="D42" s="34"/>
      <c r="E42" s="34"/>
      <c r="F42" s="34"/>
      <c r="G42" s="34"/>
      <c r="H42" s="34"/>
      <c r="I42" s="34"/>
      <c r="J42" s="34"/>
      <c r="K42" s="34"/>
      <c r="L42" s="34"/>
      <c r="M42" s="35"/>
      <c r="N42" s="34"/>
      <c r="O42" s="34"/>
      <c r="P42" s="34"/>
    </row>
    <row r="43" spans="1:16" ht="30" customHeight="1">
      <c r="A43" s="34"/>
      <c r="B43" s="34"/>
      <c r="C43" s="34"/>
      <c r="D43" s="34"/>
      <c r="E43" s="34"/>
      <c r="F43" s="34"/>
      <c r="G43" s="34"/>
      <c r="H43" s="34"/>
      <c r="I43" s="34"/>
      <c r="J43" s="34"/>
      <c r="K43" s="34"/>
      <c r="L43" s="34"/>
      <c r="M43" s="35"/>
      <c r="N43" s="34"/>
      <c r="O43" s="34"/>
      <c r="P43" s="34"/>
    </row>
    <row r="44" spans="1:16" ht="30" customHeight="1">
      <c r="A44" s="34"/>
      <c r="B44" s="34"/>
      <c r="C44" s="34"/>
      <c r="D44" s="34"/>
      <c r="E44" s="34"/>
      <c r="F44" s="34"/>
      <c r="G44" s="34"/>
      <c r="H44" s="34"/>
      <c r="I44" s="34"/>
      <c r="J44" s="34"/>
      <c r="K44" s="34"/>
      <c r="L44" s="34"/>
      <c r="M44" s="35"/>
      <c r="N44" s="34"/>
      <c r="O44" s="34"/>
      <c r="P44" s="34"/>
    </row>
    <row r="45" spans="1:16" ht="30" customHeight="1">
      <c r="A45" s="34"/>
      <c r="B45" s="34"/>
      <c r="C45" s="34"/>
      <c r="D45" s="34"/>
      <c r="E45" s="34"/>
      <c r="F45" s="34"/>
      <c r="G45" s="34"/>
      <c r="H45" s="34"/>
      <c r="I45" s="34"/>
      <c r="J45" s="34"/>
      <c r="K45" s="34"/>
      <c r="L45" s="34"/>
      <c r="M45" s="35"/>
      <c r="N45" s="34"/>
      <c r="O45" s="34"/>
      <c r="P45" s="34"/>
    </row>
    <row r="46" spans="1:16" ht="30" customHeight="1">
      <c r="A46" s="34"/>
      <c r="B46" s="34"/>
      <c r="C46" s="34"/>
      <c r="D46" s="34"/>
      <c r="E46" s="34"/>
      <c r="F46" s="34"/>
      <c r="G46" s="34"/>
      <c r="H46" s="34"/>
      <c r="I46" s="34"/>
      <c r="J46" s="34"/>
      <c r="K46" s="34"/>
      <c r="L46" s="34"/>
      <c r="M46" s="35"/>
      <c r="N46" s="34"/>
      <c r="O46" s="34"/>
      <c r="P46" s="34"/>
    </row>
    <row r="47" spans="1:16" ht="30" customHeight="1">
      <c r="A47" s="34"/>
      <c r="B47" s="34"/>
      <c r="C47" s="34"/>
      <c r="D47" s="34"/>
      <c r="E47" s="34"/>
      <c r="F47" s="34"/>
      <c r="G47" s="34"/>
      <c r="H47" s="34"/>
      <c r="I47" s="34"/>
      <c r="J47" s="34"/>
      <c r="K47" s="34"/>
      <c r="L47" s="34"/>
      <c r="M47" s="35"/>
      <c r="N47" s="34"/>
      <c r="O47" s="34"/>
      <c r="P47" s="34"/>
    </row>
    <row r="48" spans="1:16" ht="30" customHeight="1">
      <c r="A48" s="34"/>
      <c r="B48" s="34"/>
      <c r="C48" s="34"/>
      <c r="D48" s="34"/>
      <c r="E48" s="34"/>
      <c r="F48" s="34"/>
      <c r="G48" s="34"/>
      <c r="H48" s="34"/>
      <c r="I48" s="34"/>
      <c r="J48" s="34"/>
      <c r="K48" s="34"/>
      <c r="L48" s="34"/>
      <c r="M48" s="35"/>
      <c r="N48" s="34"/>
      <c r="O48" s="34"/>
      <c r="P48" s="34"/>
    </row>
    <row r="49" spans="1:16" ht="30" customHeight="1">
      <c r="A49" s="34"/>
      <c r="B49" s="34"/>
      <c r="C49" s="34"/>
      <c r="D49" s="34"/>
      <c r="E49" s="34"/>
      <c r="F49" s="34"/>
      <c r="G49" s="34"/>
      <c r="H49" s="34"/>
      <c r="I49" s="34"/>
      <c r="J49" s="34"/>
      <c r="K49" s="34"/>
      <c r="L49" s="34"/>
      <c r="M49" s="35"/>
      <c r="N49" s="34"/>
      <c r="O49" s="34"/>
      <c r="P49" s="34"/>
    </row>
    <row r="50" spans="1:16" ht="30" customHeight="1">
      <c r="A50" s="34"/>
      <c r="B50" s="34"/>
      <c r="C50" s="34"/>
      <c r="D50" s="34"/>
      <c r="E50" s="34"/>
      <c r="F50" s="34"/>
      <c r="G50" s="34"/>
      <c r="H50" s="34"/>
      <c r="I50" s="34"/>
      <c r="J50" s="34"/>
      <c r="K50" s="34"/>
      <c r="L50" s="34"/>
      <c r="M50" s="35"/>
      <c r="N50" s="34"/>
      <c r="O50" s="34"/>
      <c r="P50" s="34"/>
    </row>
    <row r="51" spans="1:16" ht="30" customHeight="1">
      <c r="A51" s="34"/>
      <c r="B51" s="34"/>
      <c r="C51" s="34"/>
      <c r="D51" s="34"/>
      <c r="E51" s="34"/>
      <c r="F51" s="34"/>
      <c r="G51" s="34"/>
      <c r="H51" s="34"/>
      <c r="I51" s="34"/>
      <c r="J51" s="34"/>
      <c r="K51" s="34"/>
      <c r="L51" s="34"/>
      <c r="M51" s="35"/>
      <c r="N51" s="34"/>
      <c r="O51" s="34"/>
      <c r="P51" s="34"/>
    </row>
    <row r="52" spans="1:16" ht="30" customHeight="1">
      <c r="A52" s="34"/>
      <c r="B52" s="34"/>
      <c r="C52" s="34"/>
      <c r="D52" s="34"/>
      <c r="E52" s="34"/>
      <c r="F52" s="34"/>
      <c r="G52" s="34"/>
      <c r="H52" s="34"/>
      <c r="I52" s="34"/>
      <c r="J52" s="34"/>
      <c r="K52" s="34"/>
      <c r="L52" s="34"/>
      <c r="M52" s="35"/>
      <c r="N52" s="34"/>
      <c r="O52" s="34"/>
      <c r="P52" s="34"/>
    </row>
    <row r="53" spans="1:16" ht="30" customHeight="1">
      <c r="A53" s="34"/>
      <c r="B53" s="34"/>
      <c r="C53" s="34"/>
      <c r="D53" s="34"/>
      <c r="E53" s="34"/>
      <c r="F53" s="34"/>
      <c r="G53" s="34"/>
      <c r="H53" s="34"/>
      <c r="I53" s="34"/>
      <c r="J53" s="34"/>
      <c r="K53" s="34"/>
      <c r="L53" s="34"/>
      <c r="M53" s="35"/>
      <c r="N53" s="34"/>
      <c r="O53" s="34"/>
      <c r="P53" s="34"/>
    </row>
    <row r="54" spans="1:16" ht="30" customHeight="1">
      <c r="A54" s="34"/>
      <c r="B54" s="34"/>
      <c r="C54" s="34"/>
      <c r="D54" s="34"/>
      <c r="E54" s="34"/>
      <c r="F54" s="34"/>
      <c r="G54" s="34"/>
      <c r="H54" s="34"/>
      <c r="I54" s="34"/>
      <c r="J54" s="34"/>
      <c r="K54" s="34"/>
      <c r="L54" s="34"/>
      <c r="M54" s="35"/>
      <c r="N54" s="34"/>
      <c r="O54" s="34"/>
      <c r="P54" s="34"/>
    </row>
    <row r="55" spans="1:16" ht="30" customHeight="1">
      <c r="A55" s="34"/>
      <c r="B55" s="34"/>
      <c r="C55" s="34"/>
      <c r="D55" s="34"/>
      <c r="E55" s="34"/>
      <c r="F55" s="34"/>
      <c r="G55" s="34"/>
      <c r="H55" s="34"/>
      <c r="I55" s="34"/>
      <c r="J55" s="34"/>
      <c r="K55" s="34"/>
      <c r="L55" s="34"/>
      <c r="M55" s="35"/>
      <c r="N55" s="34"/>
      <c r="O55" s="34"/>
      <c r="P55" s="34"/>
    </row>
    <row r="56" spans="1:16" ht="30" customHeight="1">
      <c r="A56" s="34"/>
      <c r="B56" s="34"/>
      <c r="C56" s="34"/>
      <c r="D56" s="34"/>
      <c r="E56" s="34"/>
      <c r="F56" s="34"/>
      <c r="G56" s="34"/>
      <c r="H56" s="34"/>
      <c r="I56" s="34"/>
      <c r="J56" s="34"/>
      <c r="K56" s="34"/>
      <c r="L56" s="34"/>
      <c r="M56" s="35"/>
      <c r="N56" s="34"/>
      <c r="O56" s="34"/>
      <c r="P56" s="34"/>
    </row>
    <row r="57" spans="1:16" ht="30" customHeight="1">
      <c r="A57" s="34"/>
      <c r="B57" s="34"/>
      <c r="C57" s="34"/>
      <c r="D57" s="34"/>
      <c r="E57" s="34"/>
      <c r="F57" s="34"/>
      <c r="G57" s="34"/>
      <c r="H57" s="34"/>
      <c r="I57" s="34"/>
      <c r="J57" s="34"/>
      <c r="K57" s="34"/>
      <c r="L57" s="34"/>
      <c r="M57" s="35"/>
      <c r="N57" s="34"/>
      <c r="O57" s="34"/>
      <c r="P57" s="34"/>
    </row>
    <row r="58" spans="1:16" ht="30" customHeight="1">
      <c r="A58" s="34"/>
      <c r="B58" s="34"/>
      <c r="C58" s="34"/>
      <c r="D58" s="34"/>
      <c r="E58" s="34"/>
      <c r="F58" s="34"/>
      <c r="G58" s="34"/>
      <c r="H58" s="34"/>
      <c r="I58" s="34"/>
      <c r="J58" s="34"/>
      <c r="K58" s="34"/>
      <c r="L58" s="34"/>
      <c r="M58" s="35"/>
      <c r="N58" s="34"/>
      <c r="O58" s="34"/>
      <c r="P58" s="34"/>
    </row>
    <row r="59" spans="1:16" ht="30" customHeight="1">
      <c r="A59" s="34"/>
      <c r="B59" s="34"/>
      <c r="C59" s="34"/>
      <c r="D59" s="34"/>
      <c r="E59" s="34"/>
      <c r="F59" s="34"/>
      <c r="G59" s="34"/>
      <c r="H59" s="34"/>
      <c r="I59" s="34"/>
      <c r="J59" s="34"/>
      <c r="K59" s="34"/>
      <c r="L59" s="34"/>
      <c r="M59" s="35"/>
      <c r="N59" s="34"/>
      <c r="O59" s="34"/>
      <c r="P59" s="34"/>
    </row>
    <row r="60" spans="1:16" ht="30" customHeight="1">
      <c r="A60" s="34"/>
      <c r="B60" s="34"/>
      <c r="C60" s="34"/>
      <c r="D60" s="34"/>
      <c r="E60" s="34"/>
      <c r="F60" s="34"/>
      <c r="G60" s="34"/>
      <c r="H60" s="34"/>
      <c r="I60" s="34"/>
      <c r="J60" s="34"/>
      <c r="K60" s="34"/>
      <c r="L60" s="34"/>
      <c r="M60" s="35"/>
      <c r="N60" s="34"/>
      <c r="O60" s="34"/>
      <c r="P60" s="34"/>
    </row>
    <row r="61" spans="1:16" ht="30" customHeight="1">
      <c r="A61" s="34"/>
      <c r="B61" s="34"/>
      <c r="C61" s="34"/>
      <c r="D61" s="34"/>
      <c r="E61" s="34"/>
      <c r="F61" s="34"/>
      <c r="G61" s="34"/>
      <c r="H61" s="34"/>
      <c r="I61" s="34"/>
      <c r="J61" s="34"/>
      <c r="K61" s="34"/>
      <c r="L61" s="34"/>
      <c r="M61" s="35"/>
      <c r="N61" s="34"/>
      <c r="O61" s="34"/>
      <c r="P61" s="34"/>
    </row>
    <row r="62" spans="1:16" ht="30" customHeight="1">
      <c r="A62" s="34"/>
      <c r="B62" s="34"/>
      <c r="C62" s="34"/>
      <c r="D62" s="34"/>
      <c r="E62" s="34"/>
      <c r="F62" s="34"/>
      <c r="G62" s="34"/>
      <c r="H62" s="34"/>
      <c r="I62" s="34"/>
      <c r="J62" s="34"/>
      <c r="K62" s="34"/>
      <c r="L62" s="34"/>
      <c r="M62" s="35"/>
      <c r="N62" s="34"/>
      <c r="O62" s="34"/>
      <c r="P62" s="34"/>
    </row>
    <row r="63" spans="1:16" ht="30" customHeight="1">
      <c r="A63" s="34"/>
      <c r="B63" s="34"/>
      <c r="C63" s="34"/>
      <c r="D63" s="34"/>
      <c r="E63" s="34"/>
      <c r="F63" s="34"/>
      <c r="G63" s="34"/>
      <c r="H63" s="34"/>
      <c r="I63" s="34"/>
      <c r="J63" s="34"/>
      <c r="K63" s="34"/>
      <c r="L63" s="34"/>
      <c r="M63" s="35"/>
      <c r="N63" s="34"/>
      <c r="O63" s="34"/>
      <c r="P63" s="34"/>
    </row>
    <row r="64" spans="1:16" ht="30" customHeight="1">
      <c r="A64" s="34"/>
      <c r="B64" s="34"/>
      <c r="C64" s="34"/>
      <c r="D64" s="34"/>
      <c r="E64" s="34"/>
      <c r="F64" s="34"/>
      <c r="G64" s="34"/>
      <c r="H64" s="34"/>
      <c r="I64" s="34"/>
      <c r="J64" s="34"/>
      <c r="K64" s="34"/>
      <c r="L64" s="34"/>
      <c r="M64" s="35"/>
      <c r="N64" s="34"/>
      <c r="O64" s="34"/>
      <c r="P64" s="34"/>
    </row>
    <row r="65" spans="1:16" ht="30" customHeight="1">
      <c r="A65" s="34"/>
      <c r="B65" s="34"/>
      <c r="C65" s="34"/>
      <c r="D65" s="34"/>
      <c r="E65" s="34"/>
      <c r="F65" s="34"/>
      <c r="G65" s="34"/>
      <c r="H65" s="34"/>
      <c r="I65" s="34"/>
      <c r="J65" s="34"/>
      <c r="K65" s="34"/>
      <c r="L65" s="34"/>
      <c r="M65" s="35"/>
      <c r="N65" s="34"/>
      <c r="O65" s="34"/>
      <c r="P65" s="34"/>
    </row>
    <row r="66" spans="1:16" ht="30" customHeight="1">
      <c r="A66" s="34"/>
      <c r="B66" s="34"/>
      <c r="C66" s="34"/>
      <c r="D66" s="34"/>
      <c r="E66" s="34"/>
      <c r="F66" s="34"/>
      <c r="G66" s="34"/>
      <c r="H66" s="34"/>
      <c r="I66" s="34"/>
      <c r="J66" s="34"/>
      <c r="K66" s="34"/>
      <c r="L66" s="34"/>
      <c r="M66" s="35"/>
      <c r="N66" s="34"/>
      <c r="O66" s="34"/>
      <c r="P66" s="34"/>
    </row>
    <row r="67" spans="1:16" ht="30" customHeight="1">
      <c r="A67" s="34"/>
      <c r="B67" s="34"/>
      <c r="C67" s="34"/>
      <c r="D67" s="34"/>
      <c r="E67" s="34"/>
      <c r="F67" s="34"/>
      <c r="G67" s="34"/>
      <c r="H67" s="34"/>
      <c r="I67" s="34"/>
      <c r="J67" s="34"/>
      <c r="K67" s="34"/>
      <c r="L67" s="34"/>
      <c r="M67" s="35"/>
      <c r="N67" s="34"/>
      <c r="O67" s="34"/>
      <c r="P67" s="34"/>
    </row>
    <row r="68" spans="1:16" ht="30" customHeight="1">
      <c r="A68" s="34"/>
      <c r="B68" s="34"/>
      <c r="C68" s="34"/>
      <c r="D68" s="34"/>
      <c r="E68" s="34"/>
      <c r="F68" s="34"/>
      <c r="G68" s="34"/>
      <c r="H68" s="34"/>
      <c r="I68" s="34"/>
      <c r="J68" s="34"/>
      <c r="K68" s="34"/>
      <c r="L68" s="34"/>
      <c r="M68" s="35"/>
      <c r="N68" s="34"/>
      <c r="O68" s="34"/>
      <c r="P68" s="34"/>
    </row>
    <row r="69" spans="1:16" ht="30" customHeight="1">
      <c r="A69" s="34"/>
      <c r="B69" s="34"/>
      <c r="C69" s="34"/>
      <c r="D69" s="34"/>
      <c r="E69" s="34"/>
      <c r="F69" s="34"/>
      <c r="G69" s="34"/>
      <c r="H69" s="34"/>
      <c r="I69" s="34"/>
      <c r="J69" s="34"/>
      <c r="K69" s="34"/>
      <c r="L69" s="34"/>
      <c r="M69" s="35"/>
      <c r="N69" s="34"/>
      <c r="O69" s="34"/>
      <c r="P69" s="34"/>
    </row>
    <row r="70" spans="1:16" ht="30" customHeight="1">
      <c r="A70" s="34"/>
      <c r="B70" s="34"/>
      <c r="C70" s="34"/>
      <c r="D70" s="34"/>
      <c r="E70" s="34"/>
      <c r="F70" s="34"/>
      <c r="G70" s="34"/>
      <c r="H70" s="34"/>
      <c r="I70" s="34"/>
      <c r="J70" s="34"/>
      <c r="K70" s="34"/>
      <c r="L70" s="34"/>
      <c r="M70" s="35"/>
      <c r="N70" s="34"/>
      <c r="O70" s="34"/>
      <c r="P70" s="34"/>
    </row>
    <row r="71" spans="1:16" ht="30" customHeight="1">
      <c r="A71" s="34"/>
      <c r="B71" s="34"/>
      <c r="C71" s="34"/>
      <c r="D71" s="34"/>
      <c r="E71" s="34"/>
      <c r="F71" s="34"/>
      <c r="G71" s="34"/>
      <c r="H71" s="34"/>
      <c r="I71" s="34"/>
      <c r="J71" s="34"/>
      <c r="K71" s="34"/>
      <c r="L71" s="34"/>
      <c r="M71" s="35"/>
      <c r="N71" s="34"/>
      <c r="O71" s="34"/>
      <c r="P71" s="34"/>
    </row>
    <row r="72" spans="1:16" ht="30" customHeight="1">
      <c r="A72" s="34"/>
      <c r="B72" s="34"/>
      <c r="C72" s="34"/>
      <c r="D72" s="34"/>
      <c r="E72" s="34"/>
      <c r="F72" s="34"/>
      <c r="G72" s="34"/>
      <c r="H72" s="34"/>
      <c r="I72" s="34"/>
      <c r="J72" s="34"/>
      <c r="K72" s="34"/>
      <c r="L72" s="34"/>
      <c r="M72" s="35"/>
      <c r="N72" s="34"/>
      <c r="O72" s="34"/>
      <c r="P72" s="34"/>
    </row>
    <row r="73" spans="1:16" ht="30" customHeight="1">
      <c r="A73" s="34"/>
      <c r="B73" s="34"/>
      <c r="C73" s="34"/>
      <c r="D73" s="34"/>
      <c r="E73" s="34"/>
      <c r="F73" s="34"/>
      <c r="G73" s="34"/>
      <c r="H73" s="34"/>
      <c r="I73" s="34"/>
      <c r="J73" s="34"/>
      <c r="K73" s="34"/>
      <c r="L73" s="34"/>
      <c r="M73" s="35"/>
      <c r="N73" s="34"/>
      <c r="O73" s="34"/>
      <c r="P73" s="34"/>
    </row>
    <row r="74" spans="1:16" ht="30" customHeight="1">
      <c r="A74" s="34"/>
      <c r="B74" s="34"/>
      <c r="C74" s="34"/>
      <c r="D74" s="34"/>
      <c r="E74" s="34"/>
      <c r="F74" s="34"/>
      <c r="G74" s="34"/>
      <c r="H74" s="34"/>
      <c r="I74" s="34"/>
      <c r="J74" s="34"/>
      <c r="K74" s="34"/>
      <c r="L74" s="34"/>
      <c r="M74" s="35"/>
      <c r="N74" s="34"/>
      <c r="O74" s="34"/>
      <c r="P74" s="34"/>
    </row>
    <row r="75" spans="1:16" ht="30" customHeight="1">
      <c r="A75" s="34"/>
      <c r="B75" s="34"/>
      <c r="C75" s="34"/>
      <c r="D75" s="34"/>
      <c r="E75" s="34"/>
      <c r="F75" s="34"/>
      <c r="G75" s="34"/>
      <c r="H75" s="34"/>
      <c r="I75" s="34"/>
      <c r="J75" s="34"/>
      <c r="K75" s="34"/>
      <c r="L75" s="34"/>
      <c r="M75" s="35"/>
      <c r="N75" s="34"/>
      <c r="O75" s="34"/>
      <c r="P75" s="34"/>
    </row>
    <row r="76" spans="1:16" ht="30" customHeight="1">
      <c r="A76" s="34"/>
      <c r="B76" s="34"/>
      <c r="C76" s="34"/>
      <c r="D76" s="34"/>
      <c r="E76" s="34"/>
      <c r="F76" s="34"/>
      <c r="G76" s="34"/>
      <c r="H76" s="34"/>
      <c r="I76" s="34"/>
      <c r="J76" s="34"/>
      <c r="K76" s="34"/>
      <c r="L76" s="34"/>
      <c r="M76" s="35"/>
      <c r="N76" s="34"/>
      <c r="O76" s="34"/>
      <c r="P76" s="34"/>
    </row>
    <row r="77" spans="1:16" ht="30" customHeight="1">
      <c r="A77" s="34"/>
      <c r="B77" s="34"/>
      <c r="C77" s="34"/>
      <c r="D77" s="34"/>
      <c r="E77" s="34"/>
      <c r="F77" s="34"/>
      <c r="G77" s="34"/>
      <c r="H77" s="34"/>
      <c r="I77" s="34"/>
      <c r="J77" s="34"/>
      <c r="K77" s="34"/>
      <c r="L77" s="34"/>
      <c r="M77" s="35"/>
      <c r="N77" s="34"/>
      <c r="O77" s="34"/>
      <c r="P77" s="34"/>
    </row>
    <row r="78" spans="1:16" ht="30" customHeight="1">
      <c r="A78" s="34"/>
      <c r="B78" s="34"/>
      <c r="C78" s="34"/>
      <c r="D78" s="34"/>
      <c r="E78" s="34"/>
      <c r="F78" s="34"/>
      <c r="G78" s="34"/>
      <c r="H78" s="34"/>
      <c r="I78" s="34"/>
      <c r="J78" s="34"/>
      <c r="K78" s="34"/>
      <c r="L78" s="34"/>
      <c r="M78" s="35"/>
      <c r="N78" s="34"/>
      <c r="O78" s="34"/>
      <c r="P78" s="34"/>
    </row>
    <row r="79" spans="1:16" ht="30" customHeight="1">
      <c r="A79" s="34"/>
      <c r="B79" s="34"/>
      <c r="C79" s="34"/>
      <c r="D79" s="34"/>
      <c r="E79" s="34"/>
      <c r="F79" s="34"/>
      <c r="G79" s="34"/>
      <c r="H79" s="34"/>
      <c r="I79" s="34"/>
      <c r="J79" s="34"/>
      <c r="K79" s="34"/>
      <c r="L79" s="34"/>
      <c r="M79" s="35"/>
      <c r="N79" s="34"/>
      <c r="O79" s="34"/>
      <c r="P79" s="34"/>
    </row>
    <row r="80" spans="1:16" ht="30" customHeight="1">
      <c r="A80" s="34"/>
      <c r="B80" s="34"/>
      <c r="C80" s="34"/>
      <c r="D80" s="34"/>
      <c r="E80" s="34"/>
      <c r="F80" s="34"/>
      <c r="G80" s="34"/>
      <c r="H80" s="34"/>
      <c r="I80" s="34"/>
      <c r="J80" s="34"/>
      <c r="K80" s="34"/>
      <c r="L80" s="34"/>
      <c r="M80" s="35"/>
      <c r="N80" s="34"/>
      <c r="O80" s="34"/>
      <c r="P80" s="34"/>
    </row>
    <row r="81" spans="1:16" ht="30" customHeight="1">
      <c r="A81" s="34"/>
      <c r="B81" s="34"/>
      <c r="C81" s="34"/>
      <c r="D81" s="34"/>
      <c r="E81" s="34"/>
      <c r="F81" s="34"/>
      <c r="G81" s="34"/>
      <c r="H81" s="34"/>
      <c r="I81" s="34"/>
      <c r="J81" s="34"/>
      <c r="K81" s="34"/>
      <c r="L81" s="34"/>
      <c r="M81" s="35"/>
      <c r="N81" s="34"/>
      <c r="O81" s="34"/>
      <c r="P81" s="34"/>
    </row>
    <row r="82" spans="1:16" ht="30" customHeight="1">
      <c r="A82" s="34"/>
      <c r="B82" s="34"/>
      <c r="C82" s="34"/>
      <c r="D82" s="34"/>
      <c r="E82" s="34"/>
      <c r="F82" s="34"/>
      <c r="G82" s="34"/>
      <c r="H82" s="34"/>
      <c r="I82" s="34"/>
      <c r="J82" s="34"/>
      <c r="K82" s="34"/>
      <c r="L82" s="34"/>
      <c r="M82" s="35"/>
      <c r="N82" s="34"/>
      <c r="O82" s="34"/>
      <c r="P82" s="34"/>
    </row>
    <row r="83" spans="1:16" ht="30" customHeight="1">
      <c r="A83" s="34"/>
      <c r="B83" s="34"/>
      <c r="C83" s="34"/>
      <c r="D83" s="34"/>
      <c r="E83" s="34"/>
      <c r="F83" s="34"/>
      <c r="G83" s="34"/>
      <c r="H83" s="34"/>
      <c r="I83" s="34"/>
      <c r="J83" s="34"/>
      <c r="K83" s="34"/>
      <c r="L83" s="34"/>
      <c r="M83" s="35"/>
      <c r="N83" s="34"/>
      <c r="O83" s="34"/>
      <c r="P83" s="34"/>
    </row>
    <row r="84" spans="1:16" ht="30" customHeight="1">
      <c r="A84" s="34"/>
      <c r="B84" s="34"/>
      <c r="C84" s="34"/>
      <c r="D84" s="34"/>
      <c r="E84" s="34"/>
      <c r="F84" s="34"/>
      <c r="G84" s="34"/>
      <c r="H84" s="34"/>
      <c r="I84" s="34"/>
      <c r="J84" s="34"/>
      <c r="K84" s="34"/>
      <c r="L84" s="34"/>
      <c r="M84" s="35"/>
      <c r="N84" s="34"/>
      <c r="O84" s="34"/>
      <c r="P84" s="34"/>
    </row>
    <row r="85" spans="1:16" ht="30" customHeight="1">
      <c r="A85" s="34"/>
      <c r="B85" s="34"/>
      <c r="C85" s="34"/>
      <c r="D85" s="34"/>
      <c r="E85" s="34"/>
      <c r="F85" s="34"/>
      <c r="G85" s="34"/>
      <c r="H85" s="34"/>
      <c r="I85" s="34"/>
      <c r="J85" s="34"/>
      <c r="K85" s="34"/>
      <c r="L85" s="34"/>
      <c r="M85" s="35"/>
      <c r="N85" s="34"/>
      <c r="O85" s="34"/>
      <c r="P85" s="34"/>
    </row>
    <row r="86" spans="1:16" ht="30" customHeight="1">
      <c r="A86" s="34"/>
      <c r="B86" s="34"/>
      <c r="C86" s="34"/>
      <c r="D86" s="34"/>
      <c r="E86" s="34"/>
      <c r="F86" s="34"/>
      <c r="G86" s="34"/>
      <c r="H86" s="34"/>
      <c r="I86" s="34"/>
      <c r="J86" s="34"/>
      <c r="K86" s="34"/>
      <c r="L86" s="34"/>
      <c r="M86" s="35"/>
      <c r="N86" s="34"/>
      <c r="O86" s="34"/>
      <c r="P86" s="34"/>
    </row>
    <row r="87" spans="1:16" ht="30" customHeight="1">
      <c r="A87" s="34"/>
      <c r="B87" s="34"/>
      <c r="C87" s="34"/>
      <c r="D87" s="34"/>
      <c r="E87" s="34"/>
      <c r="F87" s="34"/>
      <c r="G87" s="34"/>
      <c r="H87" s="34"/>
      <c r="I87" s="34"/>
      <c r="J87" s="34"/>
      <c r="K87" s="34"/>
      <c r="L87" s="34"/>
      <c r="M87" s="35"/>
      <c r="N87" s="34"/>
      <c r="O87" s="34"/>
      <c r="P87" s="34"/>
    </row>
    <row r="88" spans="1:16" ht="30" customHeight="1">
      <c r="A88" s="34"/>
      <c r="B88" s="34"/>
      <c r="C88" s="34"/>
      <c r="D88" s="34"/>
      <c r="E88" s="34"/>
      <c r="F88" s="34"/>
      <c r="G88" s="34"/>
      <c r="H88" s="34"/>
      <c r="I88" s="34"/>
      <c r="J88" s="34"/>
      <c r="K88" s="34"/>
      <c r="L88" s="34"/>
      <c r="M88" s="35"/>
      <c r="N88" s="34"/>
      <c r="O88" s="34"/>
      <c r="P88" s="34"/>
    </row>
    <row r="89" spans="1:16" ht="30" customHeight="1">
      <c r="A89" s="34"/>
      <c r="B89" s="34"/>
      <c r="C89" s="34"/>
      <c r="D89" s="34"/>
      <c r="E89" s="34"/>
      <c r="F89" s="34"/>
      <c r="G89" s="34"/>
      <c r="H89" s="34"/>
      <c r="I89" s="34"/>
      <c r="J89" s="34"/>
      <c r="K89" s="34"/>
      <c r="L89" s="34"/>
      <c r="M89" s="35"/>
      <c r="N89" s="34"/>
      <c r="O89" s="34"/>
      <c r="P89" s="34"/>
    </row>
    <row r="90" spans="1:16" ht="30" customHeight="1">
      <c r="A90" s="34"/>
      <c r="B90" s="34"/>
      <c r="C90" s="34"/>
      <c r="D90" s="34"/>
      <c r="E90" s="34"/>
      <c r="F90" s="34"/>
      <c r="G90" s="34"/>
      <c r="H90" s="34"/>
      <c r="I90" s="34"/>
      <c r="J90" s="34"/>
      <c r="K90" s="34"/>
      <c r="L90" s="34"/>
      <c r="M90" s="35"/>
      <c r="N90" s="34"/>
      <c r="O90" s="34"/>
      <c r="P90" s="34"/>
    </row>
    <row r="91" spans="1:16" ht="30" customHeight="1">
      <c r="A91" s="34"/>
      <c r="B91" s="34"/>
      <c r="C91" s="34"/>
      <c r="D91" s="34"/>
      <c r="E91" s="34"/>
      <c r="F91" s="34"/>
      <c r="G91" s="34"/>
      <c r="H91" s="34"/>
      <c r="I91" s="34"/>
      <c r="J91" s="34"/>
      <c r="K91" s="34"/>
      <c r="L91" s="34"/>
      <c r="M91" s="35"/>
      <c r="N91" s="34"/>
      <c r="O91" s="34"/>
      <c r="P91" s="34"/>
    </row>
    <row r="92" spans="1:16" ht="30" customHeight="1">
      <c r="A92" s="34"/>
      <c r="B92" s="34"/>
      <c r="C92" s="34"/>
      <c r="D92" s="34"/>
      <c r="E92" s="34"/>
      <c r="F92" s="34"/>
      <c r="G92" s="34"/>
      <c r="H92" s="34"/>
      <c r="I92" s="34"/>
      <c r="J92" s="34"/>
      <c r="K92" s="34"/>
      <c r="L92" s="34"/>
      <c r="M92" s="35"/>
      <c r="N92" s="34"/>
      <c r="O92" s="34"/>
      <c r="P92" s="34"/>
    </row>
    <row r="93" spans="1:16" ht="30" customHeight="1">
      <c r="A93" s="34"/>
      <c r="B93" s="34"/>
      <c r="C93" s="34"/>
      <c r="D93" s="34"/>
      <c r="E93" s="34"/>
      <c r="F93" s="34"/>
      <c r="G93" s="34"/>
      <c r="H93" s="34"/>
      <c r="I93" s="34"/>
      <c r="J93" s="34"/>
      <c r="K93" s="34"/>
      <c r="L93" s="34"/>
      <c r="M93" s="35"/>
      <c r="N93" s="34"/>
      <c r="O93" s="34"/>
      <c r="P93" s="34"/>
    </row>
    <row r="94" spans="1:16" ht="30" customHeight="1">
      <c r="A94" s="34"/>
      <c r="B94" s="34"/>
      <c r="C94" s="34"/>
      <c r="D94" s="34"/>
      <c r="E94" s="34"/>
      <c r="F94" s="34"/>
      <c r="G94" s="34"/>
      <c r="H94" s="34"/>
      <c r="I94" s="34"/>
      <c r="J94" s="34"/>
      <c r="K94" s="34"/>
      <c r="L94" s="34"/>
      <c r="M94" s="35"/>
      <c r="N94" s="34"/>
      <c r="O94" s="34"/>
      <c r="P94" s="34"/>
    </row>
    <row r="95" spans="1:16" ht="30" customHeight="1">
      <c r="A95" s="34"/>
      <c r="B95" s="34"/>
      <c r="C95" s="34"/>
      <c r="D95" s="34"/>
      <c r="E95" s="34"/>
      <c r="F95" s="34"/>
      <c r="G95" s="34"/>
      <c r="H95" s="34"/>
      <c r="I95" s="34"/>
      <c r="J95" s="34"/>
      <c r="K95" s="34"/>
      <c r="L95" s="34"/>
      <c r="M95" s="35"/>
      <c r="N95" s="34"/>
      <c r="O95" s="34"/>
      <c r="P95" s="34"/>
    </row>
    <row r="96" spans="1:16" ht="30" customHeight="1">
      <c r="A96" s="34"/>
      <c r="B96" s="34"/>
      <c r="C96" s="34"/>
      <c r="D96" s="34"/>
      <c r="E96" s="34"/>
      <c r="F96" s="34"/>
      <c r="G96" s="34"/>
      <c r="H96" s="34"/>
      <c r="I96" s="34"/>
      <c r="J96" s="34"/>
      <c r="K96" s="34"/>
      <c r="L96" s="34"/>
      <c r="M96" s="35"/>
      <c r="N96" s="34"/>
      <c r="O96" s="34"/>
      <c r="P96" s="34"/>
    </row>
    <row r="97" spans="1:16" ht="30" customHeight="1">
      <c r="A97" s="34"/>
      <c r="B97" s="34"/>
      <c r="C97" s="34"/>
      <c r="D97" s="34"/>
      <c r="E97" s="34"/>
      <c r="F97" s="34"/>
      <c r="G97" s="34"/>
      <c r="H97" s="34"/>
      <c r="I97" s="34"/>
      <c r="J97" s="34"/>
      <c r="K97" s="34"/>
      <c r="L97" s="34"/>
      <c r="M97" s="35"/>
      <c r="N97" s="34"/>
      <c r="O97" s="34"/>
      <c r="P97" s="34"/>
    </row>
    <row r="98" spans="1:16" ht="30" customHeight="1">
      <c r="A98" s="34"/>
      <c r="B98" s="34"/>
      <c r="C98" s="34"/>
      <c r="D98" s="34"/>
      <c r="E98" s="34"/>
      <c r="F98" s="34"/>
      <c r="G98" s="34"/>
      <c r="H98" s="34"/>
      <c r="I98" s="34"/>
      <c r="J98" s="34"/>
      <c r="K98" s="34"/>
      <c r="L98" s="34"/>
      <c r="M98" s="35"/>
      <c r="N98" s="34"/>
      <c r="O98" s="34"/>
      <c r="P98" s="34"/>
    </row>
    <row r="99" spans="1:16" ht="30" customHeight="1">
      <c r="A99" s="34"/>
      <c r="B99" s="34"/>
      <c r="C99" s="34"/>
      <c r="D99" s="34"/>
      <c r="E99" s="34"/>
      <c r="F99" s="34"/>
      <c r="G99" s="34"/>
      <c r="H99" s="34"/>
      <c r="I99" s="34"/>
      <c r="J99" s="34"/>
      <c r="K99" s="34"/>
      <c r="L99" s="34"/>
      <c r="M99" s="35"/>
      <c r="N99" s="34"/>
      <c r="O99" s="34"/>
      <c r="P99" s="34"/>
    </row>
    <row r="100" spans="1:16" ht="30" customHeight="1">
      <c r="A100" s="34"/>
      <c r="B100" s="34"/>
      <c r="C100" s="34"/>
      <c r="D100" s="34"/>
      <c r="E100" s="34"/>
      <c r="F100" s="34"/>
      <c r="G100" s="34"/>
      <c r="H100" s="34"/>
      <c r="I100" s="34"/>
      <c r="J100" s="34"/>
      <c r="K100" s="34"/>
      <c r="L100" s="34"/>
      <c r="M100" s="35"/>
      <c r="N100" s="34"/>
      <c r="O100" s="34"/>
      <c r="P100" s="34"/>
    </row>
    <row r="101" spans="1:16" ht="30" customHeight="1">
      <c r="A101" s="34"/>
      <c r="B101" s="34"/>
      <c r="C101" s="34"/>
      <c r="D101" s="34"/>
      <c r="E101" s="34"/>
      <c r="F101" s="34"/>
      <c r="G101" s="34"/>
      <c r="H101" s="34"/>
      <c r="I101" s="34"/>
      <c r="J101" s="34"/>
      <c r="K101" s="34"/>
      <c r="L101" s="34"/>
      <c r="M101" s="35"/>
      <c r="N101" s="34"/>
      <c r="O101" s="34"/>
      <c r="P101" s="34"/>
    </row>
    <row r="102" spans="1:16" ht="30" customHeight="1">
      <c r="A102" s="34"/>
      <c r="B102" s="34"/>
      <c r="C102" s="34"/>
      <c r="D102" s="34"/>
      <c r="E102" s="34"/>
      <c r="F102" s="34"/>
      <c r="G102" s="34"/>
      <c r="H102" s="34"/>
      <c r="I102" s="34"/>
      <c r="J102" s="34"/>
      <c r="K102" s="34"/>
      <c r="L102" s="34"/>
      <c r="M102" s="35"/>
      <c r="N102" s="34"/>
      <c r="O102" s="34"/>
      <c r="P102" s="34"/>
    </row>
    <row r="103" spans="1:16" ht="30" customHeight="1">
      <c r="A103" s="34"/>
      <c r="B103" s="34"/>
      <c r="C103" s="34"/>
      <c r="D103" s="34"/>
      <c r="E103" s="34"/>
      <c r="F103" s="34"/>
      <c r="G103" s="34"/>
      <c r="H103" s="34"/>
      <c r="I103" s="34"/>
      <c r="J103" s="34"/>
      <c r="K103" s="34"/>
      <c r="L103" s="34"/>
      <c r="M103" s="35"/>
      <c r="N103" s="34"/>
      <c r="O103" s="34"/>
      <c r="P103" s="34"/>
    </row>
    <row r="104" spans="1:16" ht="30" customHeight="1">
      <c r="A104" s="34"/>
      <c r="B104" s="34"/>
      <c r="C104" s="34"/>
      <c r="D104" s="34"/>
      <c r="E104" s="34"/>
      <c r="F104" s="34"/>
      <c r="G104" s="34"/>
      <c r="H104" s="34"/>
      <c r="I104" s="34"/>
      <c r="J104" s="34"/>
      <c r="K104" s="34"/>
      <c r="L104" s="34"/>
      <c r="M104" s="35"/>
      <c r="N104" s="34"/>
      <c r="O104" s="34"/>
      <c r="P104" s="34"/>
    </row>
    <row r="105" spans="1:16" ht="30" customHeight="1">
      <c r="A105" s="34"/>
      <c r="B105" s="34"/>
      <c r="C105" s="34"/>
      <c r="D105" s="34"/>
      <c r="E105" s="34"/>
      <c r="F105" s="34"/>
      <c r="G105" s="34"/>
      <c r="H105" s="34"/>
      <c r="I105" s="34"/>
      <c r="J105" s="34"/>
      <c r="K105" s="34"/>
      <c r="L105" s="34"/>
      <c r="M105" s="35"/>
      <c r="N105" s="34"/>
      <c r="O105" s="34"/>
      <c r="P105" s="34"/>
    </row>
    <row r="106" spans="1:16" ht="30" customHeight="1">
      <c r="A106" s="34"/>
      <c r="B106" s="34"/>
      <c r="C106" s="34"/>
      <c r="D106" s="34"/>
      <c r="E106" s="34"/>
      <c r="F106" s="34"/>
      <c r="G106" s="34"/>
      <c r="H106" s="34"/>
      <c r="I106" s="34"/>
      <c r="J106" s="34"/>
      <c r="K106" s="34"/>
      <c r="L106" s="34"/>
      <c r="M106" s="35"/>
      <c r="N106" s="34"/>
      <c r="O106" s="34"/>
      <c r="P106" s="34"/>
    </row>
    <row r="107" spans="1:16" ht="30" customHeight="1">
      <c r="A107" s="34"/>
      <c r="B107" s="34"/>
      <c r="C107" s="34"/>
      <c r="D107" s="34"/>
      <c r="E107" s="34"/>
      <c r="F107" s="34"/>
      <c r="G107" s="34"/>
      <c r="H107" s="34"/>
      <c r="I107" s="34"/>
      <c r="J107" s="34"/>
      <c r="K107" s="34"/>
      <c r="L107" s="34"/>
      <c r="M107" s="35"/>
      <c r="N107" s="34"/>
      <c r="O107" s="34"/>
      <c r="P107" s="34"/>
    </row>
    <row r="108" spans="1:16" ht="30" customHeight="1">
      <c r="A108" s="34"/>
      <c r="B108" s="34"/>
      <c r="C108" s="34"/>
      <c r="D108" s="34"/>
      <c r="E108" s="34"/>
      <c r="F108" s="34"/>
      <c r="G108" s="34"/>
      <c r="H108" s="34"/>
      <c r="I108" s="34"/>
      <c r="J108" s="34"/>
      <c r="K108" s="34"/>
      <c r="L108" s="34"/>
      <c r="M108" s="35"/>
      <c r="N108" s="34"/>
      <c r="O108" s="34"/>
      <c r="P108" s="34"/>
    </row>
    <row r="109" spans="1:16" ht="30" customHeight="1">
      <c r="A109" s="34"/>
      <c r="B109" s="34"/>
      <c r="C109" s="34"/>
      <c r="D109" s="34"/>
      <c r="E109" s="34"/>
      <c r="F109" s="34"/>
      <c r="G109" s="34"/>
      <c r="H109" s="34"/>
      <c r="I109" s="34"/>
      <c r="J109" s="34"/>
      <c r="K109" s="34"/>
      <c r="L109" s="34"/>
      <c r="M109" s="35"/>
      <c r="N109" s="34"/>
      <c r="O109" s="34"/>
      <c r="P109" s="34"/>
    </row>
    <row r="110" spans="1:16" ht="30" customHeight="1">
      <c r="A110" s="34"/>
      <c r="B110" s="34"/>
      <c r="C110" s="34"/>
      <c r="D110" s="34"/>
      <c r="E110" s="34"/>
      <c r="F110" s="34"/>
      <c r="G110" s="34"/>
      <c r="H110" s="34"/>
      <c r="I110" s="34"/>
      <c r="J110" s="34"/>
      <c r="K110" s="34"/>
      <c r="L110" s="34"/>
      <c r="M110" s="35"/>
      <c r="N110" s="34"/>
      <c r="O110" s="34"/>
      <c r="P110" s="34"/>
    </row>
    <row r="111" spans="1:16" ht="30" customHeight="1">
      <c r="A111" s="34"/>
      <c r="B111" s="34"/>
      <c r="C111" s="34"/>
      <c r="D111" s="34"/>
      <c r="E111" s="34"/>
      <c r="F111" s="34"/>
      <c r="G111" s="34"/>
      <c r="H111" s="34"/>
      <c r="I111" s="34"/>
      <c r="J111" s="34"/>
      <c r="K111" s="34"/>
      <c r="L111" s="34"/>
      <c r="M111" s="35"/>
      <c r="N111" s="34"/>
      <c r="O111" s="34"/>
      <c r="P111" s="34"/>
    </row>
    <row r="112" spans="1:16" ht="30" customHeight="1">
      <c r="A112" s="34"/>
      <c r="B112" s="34"/>
      <c r="C112" s="34"/>
      <c r="D112" s="34"/>
      <c r="E112" s="34"/>
      <c r="F112" s="34"/>
      <c r="G112" s="34"/>
      <c r="H112" s="34"/>
      <c r="I112" s="34"/>
      <c r="J112" s="34"/>
      <c r="K112" s="34"/>
      <c r="L112" s="34"/>
      <c r="M112" s="35"/>
      <c r="N112" s="34"/>
      <c r="O112" s="34"/>
      <c r="P112" s="34"/>
    </row>
    <row r="113" spans="1:16" ht="30" customHeight="1">
      <c r="A113" s="34"/>
      <c r="B113" s="34"/>
      <c r="C113" s="34"/>
      <c r="D113" s="34"/>
      <c r="E113" s="34"/>
      <c r="F113" s="34"/>
      <c r="G113" s="34"/>
      <c r="H113" s="34"/>
      <c r="I113" s="34"/>
      <c r="J113" s="34"/>
      <c r="K113" s="34"/>
      <c r="L113" s="34"/>
      <c r="M113" s="35"/>
      <c r="N113" s="34"/>
      <c r="O113" s="34"/>
      <c r="P113" s="34"/>
    </row>
    <row r="114" spans="1:16" ht="30" customHeight="1">
      <c r="A114" s="34"/>
      <c r="B114" s="34"/>
      <c r="C114" s="34"/>
      <c r="D114" s="34"/>
      <c r="E114" s="34"/>
      <c r="F114" s="34"/>
      <c r="G114" s="34"/>
      <c r="H114" s="34"/>
      <c r="I114" s="34"/>
      <c r="J114" s="34"/>
      <c r="K114" s="34"/>
      <c r="L114" s="34"/>
      <c r="M114" s="35"/>
      <c r="N114" s="34"/>
      <c r="O114" s="34"/>
      <c r="P114" s="34"/>
    </row>
    <row r="115" spans="1:16" ht="30" customHeight="1">
      <c r="A115" s="34"/>
      <c r="B115" s="34"/>
      <c r="C115" s="34"/>
      <c r="D115" s="34"/>
      <c r="E115" s="34"/>
      <c r="F115" s="34"/>
      <c r="G115" s="34"/>
      <c r="H115" s="34"/>
      <c r="I115" s="34"/>
      <c r="J115" s="34"/>
      <c r="K115" s="34"/>
      <c r="L115" s="34"/>
      <c r="M115" s="35"/>
      <c r="N115" s="34"/>
      <c r="O115" s="34"/>
      <c r="P115" s="34"/>
    </row>
    <row r="116" spans="1:16" ht="30" customHeight="1">
      <c r="A116" s="34"/>
      <c r="B116" s="34"/>
      <c r="C116" s="34"/>
      <c r="D116" s="34"/>
      <c r="E116" s="34"/>
      <c r="F116" s="34"/>
      <c r="G116" s="34"/>
      <c r="H116" s="34"/>
      <c r="I116" s="34"/>
      <c r="J116" s="34"/>
      <c r="K116" s="34"/>
      <c r="L116" s="34"/>
      <c r="M116" s="35"/>
      <c r="N116" s="34"/>
      <c r="O116" s="34"/>
      <c r="P116" s="34"/>
    </row>
    <row r="117" spans="1:16" ht="30" customHeight="1">
      <c r="A117" s="34"/>
      <c r="B117" s="34"/>
      <c r="C117" s="34"/>
      <c r="D117" s="34"/>
      <c r="E117" s="34"/>
      <c r="F117" s="34"/>
      <c r="G117" s="34"/>
      <c r="H117" s="34"/>
      <c r="I117" s="34"/>
      <c r="J117" s="34"/>
      <c r="K117" s="34"/>
      <c r="L117" s="34"/>
      <c r="M117" s="35"/>
      <c r="N117" s="34"/>
      <c r="O117" s="34"/>
      <c r="P117" s="34"/>
    </row>
    <row r="118" spans="1:16" ht="30" customHeight="1">
      <c r="A118" s="34"/>
      <c r="B118" s="34"/>
      <c r="C118" s="34"/>
      <c r="D118" s="34"/>
      <c r="E118" s="34"/>
      <c r="F118" s="34"/>
      <c r="G118" s="34"/>
      <c r="H118" s="34"/>
      <c r="I118" s="34"/>
      <c r="J118" s="34"/>
      <c r="K118" s="34"/>
      <c r="L118" s="34"/>
      <c r="M118" s="35"/>
      <c r="N118" s="34"/>
      <c r="O118" s="34"/>
      <c r="P118" s="34"/>
    </row>
    <row r="119" spans="1:16" ht="30" customHeight="1">
      <c r="A119" s="34"/>
      <c r="B119" s="34"/>
      <c r="C119" s="34"/>
      <c r="D119" s="34"/>
      <c r="E119" s="34"/>
      <c r="F119" s="34"/>
      <c r="G119" s="34"/>
      <c r="H119" s="34"/>
      <c r="I119" s="34"/>
      <c r="J119" s="34"/>
      <c r="K119" s="34"/>
      <c r="L119" s="34"/>
      <c r="M119" s="35"/>
      <c r="N119" s="34"/>
      <c r="O119" s="34"/>
      <c r="P119" s="34"/>
    </row>
    <row r="120" spans="1:16" ht="30" customHeight="1">
      <c r="A120" s="34"/>
      <c r="B120" s="34"/>
      <c r="C120" s="34"/>
      <c r="D120" s="34"/>
      <c r="E120" s="34"/>
      <c r="F120" s="34"/>
      <c r="G120" s="34"/>
      <c r="H120" s="34"/>
      <c r="I120" s="34"/>
      <c r="J120" s="34"/>
      <c r="K120" s="34"/>
      <c r="L120" s="34"/>
      <c r="M120" s="35"/>
      <c r="N120" s="34"/>
      <c r="O120" s="34"/>
      <c r="P120" s="34"/>
    </row>
    <row r="121" spans="1:16" ht="30" customHeight="1">
      <c r="A121" s="34"/>
      <c r="B121" s="34"/>
      <c r="C121" s="34"/>
      <c r="D121" s="34"/>
      <c r="E121" s="34"/>
      <c r="F121" s="34"/>
      <c r="G121" s="34"/>
      <c r="H121" s="34"/>
      <c r="I121" s="34"/>
      <c r="J121" s="34"/>
      <c r="K121" s="34"/>
      <c r="L121" s="34"/>
      <c r="M121" s="35"/>
      <c r="N121" s="34"/>
      <c r="O121" s="34"/>
      <c r="P121" s="34"/>
    </row>
    <row r="122" spans="1:16" ht="30" customHeight="1">
      <c r="A122" s="34"/>
      <c r="B122" s="34"/>
      <c r="C122" s="34"/>
      <c r="D122" s="34"/>
      <c r="E122" s="34"/>
      <c r="F122" s="34"/>
      <c r="G122" s="34"/>
      <c r="H122" s="34"/>
      <c r="I122" s="34"/>
      <c r="J122" s="34"/>
      <c r="K122" s="34"/>
      <c r="L122" s="34"/>
      <c r="M122" s="35"/>
      <c r="N122" s="34"/>
      <c r="O122" s="34"/>
      <c r="P122" s="34"/>
    </row>
    <row r="123" spans="1:16" ht="30" customHeight="1">
      <c r="A123" s="34"/>
      <c r="B123" s="34"/>
      <c r="C123" s="34"/>
      <c r="D123" s="34"/>
      <c r="E123" s="34"/>
      <c r="F123" s="34"/>
      <c r="G123" s="34"/>
      <c r="H123" s="34"/>
      <c r="I123" s="34"/>
      <c r="J123" s="34"/>
      <c r="K123" s="34"/>
      <c r="L123" s="34"/>
      <c r="M123" s="35"/>
      <c r="N123" s="34"/>
      <c r="O123" s="34"/>
      <c r="P123" s="34"/>
    </row>
    <row r="124" spans="1:16" ht="30" customHeight="1">
      <c r="A124" s="34"/>
      <c r="B124" s="34"/>
      <c r="C124" s="34"/>
      <c r="D124" s="34"/>
      <c r="E124" s="34"/>
      <c r="F124" s="34"/>
      <c r="G124" s="34"/>
      <c r="H124" s="34"/>
      <c r="I124" s="34"/>
      <c r="J124" s="34"/>
      <c r="K124" s="34"/>
      <c r="L124" s="34"/>
      <c r="M124" s="35"/>
      <c r="N124" s="34"/>
      <c r="O124" s="34"/>
      <c r="P124" s="34"/>
    </row>
    <row r="125" spans="1:16" ht="30" customHeight="1">
      <c r="A125" s="34"/>
      <c r="B125" s="34"/>
      <c r="C125" s="34"/>
      <c r="D125" s="34"/>
      <c r="E125" s="34"/>
      <c r="F125" s="34"/>
      <c r="G125" s="34"/>
      <c r="H125" s="34"/>
      <c r="I125" s="34"/>
      <c r="J125" s="34"/>
      <c r="K125" s="34"/>
      <c r="L125" s="34"/>
      <c r="M125" s="35"/>
      <c r="N125" s="34"/>
      <c r="O125" s="34"/>
      <c r="P125" s="34"/>
    </row>
    <row r="126" spans="1:16" ht="30" customHeight="1">
      <c r="A126" s="34"/>
      <c r="B126" s="34"/>
      <c r="C126" s="34"/>
      <c r="D126" s="34"/>
      <c r="E126" s="34"/>
      <c r="F126" s="34"/>
      <c r="G126" s="34"/>
      <c r="H126" s="34"/>
      <c r="I126" s="34"/>
      <c r="J126" s="34"/>
      <c r="K126" s="34"/>
      <c r="L126" s="34"/>
      <c r="M126" s="35"/>
      <c r="N126" s="34"/>
      <c r="O126" s="34"/>
      <c r="P126" s="34"/>
    </row>
    <row r="127" spans="1:16" ht="30" customHeight="1">
      <c r="A127" s="34"/>
      <c r="B127" s="34"/>
      <c r="C127" s="34"/>
      <c r="D127" s="34"/>
      <c r="E127" s="34"/>
      <c r="F127" s="34"/>
      <c r="G127" s="34"/>
      <c r="H127" s="34"/>
      <c r="I127" s="34"/>
      <c r="J127" s="34"/>
      <c r="K127" s="34"/>
      <c r="L127" s="34"/>
      <c r="M127" s="35"/>
      <c r="N127" s="34"/>
      <c r="O127" s="34"/>
      <c r="P127" s="34"/>
    </row>
    <row r="128" spans="1:16" ht="30" customHeight="1">
      <c r="A128" s="34"/>
      <c r="B128" s="34"/>
      <c r="C128" s="34"/>
      <c r="D128" s="34"/>
      <c r="E128" s="34"/>
      <c r="F128" s="34"/>
      <c r="G128" s="34"/>
      <c r="H128" s="34"/>
      <c r="I128" s="34"/>
      <c r="J128" s="34"/>
      <c r="K128" s="34"/>
      <c r="L128" s="34"/>
      <c r="M128" s="35"/>
      <c r="N128" s="34"/>
      <c r="O128" s="34"/>
      <c r="P128" s="34"/>
    </row>
    <row r="129" spans="1:16" ht="30" customHeight="1">
      <c r="A129" s="34"/>
      <c r="B129" s="34"/>
      <c r="C129" s="34"/>
      <c r="D129" s="34"/>
      <c r="E129" s="34"/>
      <c r="F129" s="34"/>
      <c r="G129" s="34"/>
      <c r="H129" s="34"/>
      <c r="I129" s="34"/>
      <c r="J129" s="34"/>
      <c r="K129" s="34"/>
      <c r="L129" s="34"/>
      <c r="M129" s="35"/>
      <c r="N129" s="34"/>
      <c r="O129" s="34"/>
      <c r="P129" s="34"/>
    </row>
    <row r="130" spans="1:16" ht="30" customHeight="1">
      <c r="A130" s="34"/>
      <c r="B130" s="34"/>
      <c r="C130" s="34"/>
      <c r="D130" s="34"/>
      <c r="E130" s="34"/>
      <c r="F130" s="34"/>
      <c r="G130" s="34"/>
      <c r="H130" s="34"/>
      <c r="I130" s="34"/>
      <c r="J130" s="34"/>
      <c r="K130" s="34"/>
      <c r="L130" s="34"/>
      <c r="M130" s="35"/>
      <c r="N130" s="34"/>
      <c r="O130" s="34"/>
      <c r="P130" s="34"/>
    </row>
    <row r="131" spans="1:16" ht="30" customHeight="1">
      <c r="A131" s="34"/>
      <c r="B131" s="34"/>
      <c r="C131" s="34"/>
      <c r="D131" s="34"/>
      <c r="E131" s="34"/>
      <c r="F131" s="34"/>
      <c r="G131" s="34"/>
      <c r="H131" s="34"/>
      <c r="I131" s="34"/>
      <c r="J131" s="34"/>
      <c r="K131" s="34"/>
      <c r="L131" s="34"/>
      <c r="M131" s="35"/>
      <c r="N131" s="34"/>
      <c r="O131" s="34"/>
      <c r="P131" s="34"/>
    </row>
    <row r="132" spans="1:16" ht="30" customHeight="1">
      <c r="A132" s="34"/>
      <c r="B132" s="34"/>
      <c r="C132" s="34"/>
      <c r="D132" s="34"/>
      <c r="E132" s="34"/>
      <c r="F132" s="34"/>
      <c r="G132" s="34"/>
      <c r="H132" s="34"/>
      <c r="I132" s="34"/>
      <c r="J132" s="34"/>
      <c r="K132" s="34"/>
      <c r="L132" s="34"/>
      <c r="M132" s="35"/>
      <c r="N132" s="34"/>
      <c r="O132" s="34"/>
      <c r="P132" s="34"/>
    </row>
    <row r="133" spans="1:16" ht="30" customHeight="1">
      <c r="A133" s="34"/>
      <c r="B133" s="34"/>
      <c r="C133" s="34"/>
      <c r="D133" s="34"/>
      <c r="E133" s="34"/>
      <c r="F133" s="34"/>
      <c r="G133" s="34"/>
      <c r="H133" s="34"/>
      <c r="I133" s="34"/>
      <c r="J133" s="34"/>
      <c r="K133" s="34"/>
      <c r="L133" s="34"/>
      <c r="M133" s="35"/>
      <c r="N133" s="34"/>
      <c r="O133" s="34"/>
      <c r="P133" s="34"/>
    </row>
    <row r="134" spans="1:16" ht="30" customHeight="1">
      <c r="A134" s="34"/>
      <c r="B134" s="34"/>
      <c r="C134" s="34"/>
      <c r="D134" s="34"/>
      <c r="E134" s="34"/>
      <c r="F134" s="34"/>
      <c r="G134" s="34"/>
      <c r="H134" s="34"/>
      <c r="I134" s="34"/>
      <c r="J134" s="34"/>
      <c r="K134" s="34"/>
      <c r="L134" s="34"/>
      <c r="M134" s="35"/>
      <c r="N134" s="34"/>
      <c r="O134" s="34"/>
      <c r="P134" s="34"/>
    </row>
    <row r="135" spans="1:16" ht="30" customHeight="1">
      <c r="A135" s="34"/>
      <c r="B135" s="34"/>
      <c r="C135" s="34"/>
      <c r="D135" s="34"/>
      <c r="E135" s="34"/>
      <c r="F135" s="34"/>
      <c r="G135" s="34"/>
      <c r="H135" s="34"/>
      <c r="I135" s="34"/>
      <c r="J135" s="34"/>
      <c r="K135" s="34"/>
      <c r="L135" s="34"/>
      <c r="M135" s="35"/>
      <c r="N135" s="34"/>
      <c r="O135" s="34"/>
      <c r="P135" s="34"/>
    </row>
    <row r="136" spans="1:16" ht="30" customHeight="1">
      <c r="A136" s="34"/>
      <c r="B136" s="34"/>
      <c r="C136" s="34"/>
      <c r="D136" s="34"/>
      <c r="E136" s="34"/>
      <c r="F136" s="34"/>
      <c r="G136" s="34"/>
      <c r="H136" s="34"/>
      <c r="I136" s="34"/>
      <c r="J136" s="34"/>
      <c r="K136" s="34"/>
      <c r="L136" s="34"/>
      <c r="M136" s="35"/>
      <c r="N136" s="34"/>
      <c r="O136" s="34"/>
      <c r="P136" s="34"/>
    </row>
    <row r="137" spans="1:16" ht="30" customHeight="1">
      <c r="A137" s="34"/>
      <c r="B137" s="34"/>
      <c r="C137" s="34"/>
      <c r="D137" s="34"/>
      <c r="E137" s="34"/>
      <c r="F137" s="34"/>
      <c r="G137" s="34"/>
      <c r="H137" s="34"/>
      <c r="I137" s="34"/>
      <c r="J137" s="34"/>
      <c r="K137" s="34"/>
      <c r="L137" s="34"/>
      <c r="M137" s="35"/>
      <c r="N137" s="34"/>
      <c r="O137" s="34"/>
      <c r="P137" s="34"/>
    </row>
    <row r="138" spans="1:16" ht="30" customHeight="1">
      <c r="A138" s="34"/>
      <c r="B138" s="34"/>
      <c r="C138" s="34"/>
      <c r="D138" s="34"/>
      <c r="E138" s="34"/>
      <c r="F138" s="34"/>
      <c r="G138" s="34"/>
      <c r="H138" s="34"/>
      <c r="I138" s="34"/>
      <c r="J138" s="34"/>
      <c r="K138" s="34"/>
      <c r="L138" s="34"/>
      <c r="M138" s="35"/>
      <c r="N138" s="34"/>
      <c r="O138" s="34"/>
      <c r="P138" s="34"/>
    </row>
    <row r="139" spans="1:16" ht="30" customHeight="1">
      <c r="A139" s="34"/>
      <c r="B139" s="34"/>
      <c r="C139" s="34"/>
      <c r="D139" s="34"/>
      <c r="E139" s="34"/>
      <c r="F139" s="34"/>
      <c r="G139" s="34"/>
      <c r="H139" s="34"/>
      <c r="I139" s="34"/>
      <c r="J139" s="34"/>
      <c r="K139" s="34"/>
      <c r="L139" s="34"/>
      <c r="M139" s="35"/>
      <c r="N139" s="34"/>
      <c r="O139" s="34"/>
      <c r="P139" s="34"/>
    </row>
    <row r="140" spans="1:16" ht="30" customHeight="1">
      <c r="A140" s="34"/>
      <c r="B140" s="34"/>
      <c r="C140" s="34"/>
      <c r="D140" s="34"/>
      <c r="E140" s="34"/>
      <c r="F140" s="34"/>
      <c r="G140" s="34"/>
      <c r="H140" s="34"/>
      <c r="I140" s="34"/>
      <c r="J140" s="34"/>
      <c r="K140" s="34"/>
      <c r="L140" s="34"/>
      <c r="M140" s="35"/>
      <c r="N140" s="34"/>
      <c r="O140" s="34"/>
      <c r="P140" s="34"/>
    </row>
    <row r="141" spans="1:16" ht="30" customHeight="1">
      <c r="A141" s="34"/>
      <c r="B141" s="34"/>
      <c r="C141" s="34"/>
      <c r="D141" s="34"/>
      <c r="E141" s="34"/>
      <c r="F141" s="34"/>
      <c r="G141" s="34"/>
      <c r="H141" s="34"/>
      <c r="I141" s="34"/>
      <c r="J141" s="34"/>
      <c r="K141" s="34"/>
      <c r="L141" s="34"/>
      <c r="M141" s="35"/>
      <c r="N141" s="34"/>
      <c r="O141" s="34"/>
      <c r="P141" s="34"/>
    </row>
    <row r="142" spans="1:16" ht="30" customHeight="1">
      <c r="A142" s="34"/>
      <c r="B142" s="34"/>
      <c r="C142" s="34"/>
      <c r="D142" s="34"/>
      <c r="E142" s="34"/>
      <c r="F142" s="34"/>
      <c r="G142" s="34"/>
      <c r="H142" s="34"/>
      <c r="I142" s="34"/>
      <c r="J142" s="34"/>
      <c r="K142" s="34"/>
      <c r="L142" s="34"/>
      <c r="M142" s="35"/>
      <c r="N142" s="34"/>
      <c r="O142" s="34"/>
      <c r="P142" s="34"/>
    </row>
    <row r="143" spans="1:16" ht="30" customHeight="1">
      <c r="A143" s="34"/>
      <c r="B143" s="34"/>
      <c r="C143" s="34"/>
      <c r="D143" s="34"/>
      <c r="E143" s="34"/>
      <c r="F143" s="34"/>
      <c r="G143" s="34"/>
      <c r="H143" s="34"/>
      <c r="I143" s="34"/>
      <c r="J143" s="34"/>
      <c r="K143" s="34"/>
      <c r="L143" s="34"/>
      <c r="M143" s="35"/>
      <c r="N143" s="34"/>
      <c r="O143" s="34"/>
      <c r="P143" s="34"/>
    </row>
    <row r="144" spans="1:16" ht="30" customHeight="1">
      <c r="A144" s="34"/>
      <c r="B144" s="34"/>
      <c r="C144" s="34"/>
      <c r="D144" s="34"/>
      <c r="E144" s="34"/>
      <c r="F144" s="34"/>
      <c r="G144" s="34"/>
      <c r="H144" s="34"/>
      <c r="I144" s="34"/>
      <c r="J144" s="34"/>
      <c r="K144" s="34"/>
      <c r="L144" s="34"/>
      <c r="M144" s="35"/>
      <c r="N144" s="34"/>
      <c r="O144" s="34"/>
      <c r="P144" s="34"/>
    </row>
    <row r="145" spans="1:16" ht="30" customHeight="1">
      <c r="A145" s="34"/>
      <c r="B145" s="34"/>
      <c r="C145" s="34"/>
      <c r="D145" s="34"/>
      <c r="E145" s="34"/>
      <c r="F145" s="34"/>
      <c r="G145" s="34"/>
      <c r="H145" s="34"/>
      <c r="I145" s="34"/>
      <c r="J145" s="34"/>
      <c r="K145" s="34"/>
      <c r="L145" s="34"/>
      <c r="M145" s="35"/>
      <c r="N145" s="34"/>
      <c r="O145" s="34"/>
      <c r="P145" s="34"/>
    </row>
    <row r="146" spans="1:16" ht="30" customHeight="1">
      <c r="A146" s="34"/>
      <c r="B146" s="34"/>
      <c r="C146" s="34"/>
      <c r="D146" s="34"/>
      <c r="E146" s="34"/>
      <c r="F146" s="34"/>
      <c r="G146" s="34"/>
      <c r="H146" s="34"/>
      <c r="I146" s="34"/>
      <c r="J146" s="34"/>
      <c r="K146" s="34"/>
      <c r="L146" s="34"/>
      <c r="M146" s="35"/>
      <c r="N146" s="34"/>
      <c r="O146" s="34"/>
      <c r="P146" s="34"/>
    </row>
    <row r="147" spans="1:16" ht="30" customHeight="1">
      <c r="A147" s="34"/>
      <c r="B147" s="34"/>
      <c r="C147" s="34"/>
      <c r="D147" s="34"/>
      <c r="E147" s="34"/>
      <c r="F147" s="34"/>
      <c r="G147" s="34"/>
      <c r="H147" s="34"/>
      <c r="I147" s="34"/>
      <c r="J147" s="34"/>
      <c r="K147" s="34"/>
      <c r="L147" s="34"/>
      <c r="M147" s="35"/>
      <c r="N147" s="34"/>
      <c r="O147" s="34"/>
      <c r="P147" s="34"/>
    </row>
    <row r="148" spans="1:16" ht="30" customHeight="1">
      <c r="A148" s="34"/>
      <c r="B148" s="34"/>
      <c r="C148" s="34"/>
      <c r="D148" s="34"/>
      <c r="E148" s="34"/>
      <c r="F148" s="34"/>
      <c r="G148" s="34"/>
      <c r="H148" s="34"/>
      <c r="I148" s="34"/>
      <c r="J148" s="34"/>
      <c r="K148" s="34"/>
      <c r="L148" s="34"/>
      <c r="M148" s="35"/>
      <c r="N148" s="34"/>
      <c r="O148" s="34"/>
      <c r="P148" s="34"/>
    </row>
    <row r="149" spans="1:16" ht="30" customHeight="1">
      <c r="A149" s="34"/>
      <c r="B149" s="34"/>
      <c r="C149" s="34"/>
      <c r="D149" s="34"/>
      <c r="E149" s="34"/>
      <c r="F149" s="34"/>
      <c r="G149" s="34"/>
      <c r="H149" s="34"/>
      <c r="I149" s="34"/>
      <c r="J149" s="34"/>
      <c r="K149" s="34"/>
      <c r="L149" s="34"/>
      <c r="M149" s="35"/>
      <c r="N149" s="34"/>
      <c r="O149" s="34"/>
      <c r="P149" s="34"/>
    </row>
    <row r="150" spans="1:16" ht="30" customHeight="1">
      <c r="A150" s="34"/>
      <c r="B150" s="34"/>
      <c r="C150" s="34"/>
      <c r="D150" s="34"/>
      <c r="E150" s="34"/>
      <c r="F150" s="34"/>
      <c r="G150" s="34"/>
      <c r="H150" s="34"/>
      <c r="I150" s="34"/>
      <c r="J150" s="34"/>
      <c r="K150" s="34"/>
      <c r="L150" s="34"/>
      <c r="M150" s="35"/>
      <c r="N150" s="34"/>
      <c r="O150" s="34"/>
      <c r="P150" s="34"/>
    </row>
    <row r="151" spans="1:16" ht="30" customHeight="1">
      <c r="A151" s="34"/>
      <c r="B151" s="34"/>
      <c r="C151" s="34"/>
      <c r="D151" s="34"/>
      <c r="E151" s="34"/>
      <c r="F151" s="34"/>
      <c r="G151" s="34"/>
      <c r="H151" s="34"/>
      <c r="I151" s="34"/>
      <c r="J151" s="34"/>
      <c r="K151" s="34"/>
      <c r="L151" s="34"/>
      <c r="M151" s="35"/>
      <c r="N151" s="34"/>
      <c r="O151" s="34"/>
      <c r="P151" s="34"/>
    </row>
    <row r="152" spans="1:16" ht="30" customHeight="1">
      <c r="A152" s="34"/>
      <c r="B152" s="34"/>
      <c r="C152" s="34"/>
      <c r="D152" s="34"/>
      <c r="E152" s="34"/>
      <c r="F152" s="34"/>
      <c r="G152" s="34"/>
      <c r="H152" s="34"/>
      <c r="I152" s="34"/>
      <c r="J152" s="34"/>
      <c r="K152" s="34"/>
      <c r="L152" s="34"/>
      <c r="M152" s="35"/>
      <c r="N152" s="34"/>
      <c r="O152" s="34"/>
      <c r="P152" s="34"/>
    </row>
    <row r="153" spans="1:16" ht="30" customHeight="1">
      <c r="A153" s="34"/>
      <c r="B153" s="34"/>
      <c r="C153" s="34"/>
      <c r="D153" s="34"/>
      <c r="E153" s="34"/>
      <c r="F153" s="34"/>
      <c r="G153" s="34"/>
      <c r="H153" s="34"/>
      <c r="I153" s="34"/>
      <c r="J153" s="34"/>
      <c r="K153" s="34"/>
      <c r="L153" s="34"/>
      <c r="M153" s="35"/>
      <c r="N153" s="34"/>
      <c r="O153" s="34"/>
      <c r="P153" s="34"/>
    </row>
    <row r="154" spans="1:16" ht="30" customHeight="1">
      <c r="A154" s="34"/>
      <c r="B154" s="34"/>
      <c r="C154" s="34"/>
      <c r="D154" s="34"/>
      <c r="E154" s="34"/>
      <c r="F154" s="34"/>
      <c r="G154" s="34"/>
      <c r="H154" s="34"/>
      <c r="I154" s="34"/>
      <c r="J154" s="34"/>
      <c r="K154" s="34"/>
      <c r="L154" s="34"/>
      <c r="M154" s="35"/>
      <c r="N154" s="34"/>
      <c r="O154" s="34"/>
      <c r="P154" s="34"/>
    </row>
    <row r="155" spans="1:16" ht="30" customHeight="1">
      <c r="A155" s="34"/>
      <c r="B155" s="34"/>
      <c r="C155" s="34"/>
      <c r="D155" s="34"/>
      <c r="E155" s="34"/>
      <c r="F155" s="34"/>
      <c r="G155" s="34"/>
      <c r="H155" s="34"/>
      <c r="I155" s="34"/>
      <c r="J155" s="34"/>
      <c r="K155" s="34"/>
      <c r="L155" s="34"/>
      <c r="M155" s="35"/>
      <c r="N155" s="34"/>
      <c r="O155" s="34"/>
      <c r="P155" s="34"/>
    </row>
    <row r="156" spans="1:16" ht="30" customHeight="1">
      <c r="A156" s="34"/>
      <c r="B156" s="34"/>
      <c r="C156" s="34"/>
      <c r="D156" s="34"/>
      <c r="E156" s="34"/>
      <c r="F156" s="34"/>
      <c r="G156" s="34"/>
      <c r="H156" s="34"/>
      <c r="I156" s="34"/>
      <c r="J156" s="34"/>
      <c r="K156" s="34"/>
      <c r="L156" s="34"/>
      <c r="M156" s="35"/>
      <c r="N156" s="34"/>
      <c r="O156" s="34"/>
      <c r="P156" s="34"/>
    </row>
    <row r="157" spans="1:16" ht="30" customHeight="1">
      <c r="A157" s="34"/>
      <c r="B157" s="34"/>
      <c r="C157" s="34"/>
      <c r="D157" s="34"/>
      <c r="E157" s="34"/>
      <c r="F157" s="34"/>
      <c r="G157" s="34"/>
      <c r="H157" s="34"/>
      <c r="I157" s="34"/>
      <c r="J157" s="34"/>
      <c r="K157" s="34"/>
      <c r="L157" s="34"/>
      <c r="M157" s="35"/>
      <c r="N157" s="34"/>
      <c r="O157" s="34"/>
      <c r="P157" s="34"/>
    </row>
    <row r="158" spans="1:16" ht="30" customHeight="1">
      <c r="A158" s="34"/>
      <c r="B158" s="34"/>
      <c r="C158" s="34"/>
      <c r="D158" s="34"/>
      <c r="E158" s="34"/>
      <c r="F158" s="34"/>
      <c r="G158" s="34"/>
      <c r="H158" s="34"/>
      <c r="I158" s="34"/>
      <c r="J158" s="34"/>
      <c r="K158" s="34"/>
      <c r="L158" s="34"/>
      <c r="M158" s="35"/>
      <c r="N158" s="34"/>
      <c r="O158" s="34"/>
      <c r="P158" s="34"/>
    </row>
    <row r="159" spans="1:16" ht="30" customHeight="1">
      <c r="A159" s="34"/>
      <c r="B159" s="34"/>
      <c r="C159" s="34"/>
      <c r="D159" s="34"/>
      <c r="E159" s="34"/>
      <c r="F159" s="34"/>
      <c r="G159" s="34"/>
      <c r="H159" s="34"/>
      <c r="I159" s="34"/>
      <c r="J159" s="34"/>
      <c r="K159" s="34"/>
      <c r="L159" s="34"/>
      <c r="M159" s="35"/>
      <c r="N159" s="34"/>
      <c r="O159" s="34"/>
      <c r="P159" s="34"/>
    </row>
    <row r="160" spans="1:16" ht="30" customHeight="1">
      <c r="A160" s="34"/>
      <c r="B160" s="34"/>
      <c r="C160" s="34"/>
      <c r="D160" s="34"/>
      <c r="E160" s="34"/>
      <c r="F160" s="34"/>
      <c r="G160" s="34"/>
      <c r="H160" s="34"/>
      <c r="I160" s="34"/>
      <c r="J160" s="34"/>
      <c r="K160" s="34"/>
      <c r="L160" s="34"/>
      <c r="M160" s="35"/>
      <c r="N160" s="34"/>
      <c r="O160" s="34"/>
      <c r="P160" s="34"/>
    </row>
    <row r="161" spans="1:16" ht="30" customHeight="1">
      <c r="A161" s="34"/>
      <c r="B161" s="34"/>
      <c r="C161" s="34"/>
      <c r="D161" s="34"/>
      <c r="E161" s="34"/>
      <c r="F161" s="34"/>
      <c r="G161" s="34"/>
      <c r="H161" s="34"/>
      <c r="I161" s="34"/>
      <c r="J161" s="34"/>
      <c r="K161" s="34"/>
      <c r="L161" s="34"/>
      <c r="M161" s="35"/>
      <c r="N161" s="34"/>
      <c r="O161" s="34"/>
      <c r="P161" s="34"/>
    </row>
    <row r="162" spans="1:16" ht="30" customHeight="1">
      <c r="A162" s="34"/>
      <c r="B162" s="34"/>
      <c r="C162" s="34"/>
      <c r="D162" s="34"/>
      <c r="E162" s="34"/>
      <c r="F162" s="34"/>
      <c r="G162" s="34"/>
      <c r="H162" s="34"/>
      <c r="I162" s="34"/>
      <c r="J162" s="34"/>
      <c r="K162" s="34"/>
      <c r="L162" s="34"/>
      <c r="M162" s="35"/>
      <c r="N162" s="34"/>
      <c r="O162" s="34"/>
      <c r="P162" s="34"/>
    </row>
    <row r="163" spans="1:16" ht="30" customHeight="1">
      <c r="A163" s="34"/>
      <c r="B163" s="34"/>
      <c r="C163" s="34"/>
      <c r="D163" s="34"/>
      <c r="E163" s="34"/>
      <c r="F163" s="34"/>
      <c r="G163" s="34"/>
      <c r="H163" s="34"/>
      <c r="I163" s="34"/>
      <c r="J163" s="34"/>
      <c r="K163" s="34"/>
      <c r="L163" s="34"/>
      <c r="M163" s="35"/>
      <c r="N163" s="34"/>
      <c r="O163" s="34"/>
      <c r="P163" s="34"/>
    </row>
    <row r="164" spans="1:16" ht="30" customHeight="1">
      <c r="A164" s="34"/>
      <c r="B164" s="34"/>
      <c r="C164" s="34"/>
      <c r="D164" s="34"/>
      <c r="E164" s="34"/>
      <c r="F164" s="34"/>
      <c r="G164" s="34"/>
      <c r="H164" s="34"/>
      <c r="I164" s="34"/>
      <c r="J164" s="34"/>
      <c r="K164" s="34"/>
      <c r="L164" s="34"/>
      <c r="M164" s="35"/>
      <c r="N164" s="34"/>
      <c r="O164" s="34"/>
      <c r="P164" s="34"/>
    </row>
    <row r="165" spans="1:16" ht="30" customHeight="1">
      <c r="A165" s="34"/>
      <c r="B165" s="34"/>
      <c r="C165" s="34"/>
      <c r="D165" s="34"/>
      <c r="E165" s="34"/>
      <c r="F165" s="34"/>
      <c r="G165" s="34"/>
      <c r="H165" s="34"/>
      <c r="I165" s="34"/>
      <c r="J165" s="34"/>
      <c r="K165" s="34"/>
      <c r="L165" s="34"/>
      <c r="M165" s="35"/>
      <c r="N165" s="34"/>
      <c r="O165" s="34"/>
      <c r="P165" s="34"/>
    </row>
    <row r="166" spans="1:16" ht="30" customHeight="1">
      <c r="A166" s="34"/>
      <c r="B166" s="34"/>
      <c r="C166" s="34"/>
      <c r="D166" s="34"/>
      <c r="E166" s="34"/>
      <c r="F166" s="34"/>
      <c r="G166" s="34"/>
      <c r="H166" s="34"/>
      <c r="I166" s="34"/>
      <c r="J166" s="34"/>
      <c r="K166" s="34"/>
      <c r="L166" s="34"/>
      <c r="M166" s="35"/>
      <c r="N166" s="34"/>
      <c r="O166" s="34"/>
      <c r="P166" s="34"/>
    </row>
    <row r="167" spans="1:16" ht="30" customHeight="1">
      <c r="A167" s="34"/>
      <c r="B167" s="34"/>
      <c r="C167" s="34"/>
      <c r="D167" s="34"/>
      <c r="E167" s="34"/>
      <c r="F167" s="34"/>
      <c r="G167" s="34"/>
      <c r="H167" s="34"/>
      <c r="I167" s="34"/>
      <c r="J167" s="34"/>
      <c r="K167" s="34"/>
      <c r="L167" s="34"/>
      <c r="M167" s="35"/>
      <c r="N167" s="34"/>
      <c r="O167" s="34"/>
      <c r="P167" s="34"/>
    </row>
    <row r="168" spans="1:16" ht="30" customHeight="1">
      <c r="A168" s="34"/>
      <c r="B168" s="34"/>
      <c r="C168" s="34"/>
      <c r="D168" s="34"/>
      <c r="E168" s="34"/>
      <c r="F168" s="34"/>
      <c r="G168" s="34"/>
      <c r="H168" s="34"/>
      <c r="I168" s="34"/>
      <c r="J168" s="34"/>
      <c r="K168" s="34"/>
      <c r="L168" s="34"/>
      <c r="M168" s="35"/>
      <c r="N168" s="34"/>
      <c r="O168" s="34"/>
      <c r="P168" s="34"/>
    </row>
    <row r="169" spans="1:16" ht="30" customHeight="1">
      <c r="A169" s="34"/>
      <c r="B169" s="34"/>
      <c r="C169" s="34"/>
      <c r="D169" s="34"/>
      <c r="E169" s="34"/>
      <c r="F169" s="34"/>
      <c r="G169" s="34"/>
      <c r="H169" s="34"/>
      <c r="I169" s="34"/>
      <c r="J169" s="34"/>
      <c r="K169" s="34"/>
      <c r="L169" s="34"/>
      <c r="M169" s="35"/>
      <c r="N169" s="34"/>
      <c r="O169" s="34"/>
      <c r="P169" s="34"/>
    </row>
    <row r="170" spans="1:16" ht="30" customHeight="1">
      <c r="A170" s="34"/>
      <c r="B170" s="34"/>
      <c r="C170" s="34"/>
      <c r="D170" s="34"/>
      <c r="E170" s="34"/>
      <c r="F170" s="34"/>
      <c r="G170" s="34"/>
      <c r="H170" s="34"/>
      <c r="I170" s="34"/>
      <c r="J170" s="34"/>
      <c r="K170" s="34"/>
      <c r="L170" s="34"/>
      <c r="M170" s="35"/>
      <c r="N170" s="34"/>
      <c r="O170" s="34"/>
      <c r="P170" s="34"/>
    </row>
    <row r="171" spans="1:16" ht="30" customHeight="1">
      <c r="A171" s="34"/>
      <c r="B171" s="34"/>
      <c r="C171" s="34"/>
      <c r="D171" s="34"/>
      <c r="E171" s="34"/>
      <c r="F171" s="34"/>
      <c r="G171" s="34"/>
      <c r="H171" s="34"/>
      <c r="I171" s="34"/>
      <c r="J171" s="34"/>
      <c r="K171" s="34"/>
      <c r="L171" s="34"/>
      <c r="M171" s="35"/>
      <c r="N171" s="34"/>
      <c r="O171" s="34"/>
      <c r="P171" s="34"/>
    </row>
    <row r="172" spans="1:16" ht="30" customHeight="1">
      <c r="A172" s="34"/>
      <c r="B172" s="34"/>
      <c r="C172" s="34"/>
      <c r="D172" s="34"/>
      <c r="E172" s="34"/>
      <c r="F172" s="34"/>
      <c r="G172" s="34"/>
      <c r="H172" s="34"/>
      <c r="I172" s="34"/>
      <c r="J172" s="34"/>
      <c r="K172" s="34"/>
      <c r="L172" s="34"/>
      <c r="M172" s="35"/>
      <c r="N172" s="34"/>
      <c r="O172" s="34"/>
      <c r="P172" s="34"/>
    </row>
    <row r="173" spans="1:16" ht="30" customHeight="1">
      <c r="A173" s="34"/>
      <c r="B173" s="34"/>
      <c r="C173" s="34"/>
      <c r="D173" s="34"/>
      <c r="E173" s="34"/>
      <c r="F173" s="34"/>
      <c r="G173" s="34"/>
      <c r="H173" s="34"/>
      <c r="I173" s="34"/>
      <c r="J173" s="34"/>
      <c r="K173" s="34"/>
      <c r="L173" s="34"/>
      <c r="M173" s="35"/>
      <c r="N173" s="34"/>
      <c r="O173" s="34"/>
      <c r="P173" s="34"/>
    </row>
    <row r="174" spans="1:16" ht="30" customHeight="1">
      <c r="A174" s="34"/>
      <c r="B174" s="34"/>
      <c r="C174" s="34"/>
      <c r="D174" s="34"/>
      <c r="E174" s="34"/>
      <c r="F174" s="34"/>
      <c r="G174" s="34"/>
      <c r="H174" s="34"/>
      <c r="I174" s="34"/>
      <c r="J174" s="34"/>
      <c r="K174" s="34"/>
      <c r="L174" s="34"/>
      <c r="M174" s="35"/>
      <c r="N174" s="34"/>
      <c r="O174" s="34"/>
      <c r="P174" s="34"/>
    </row>
    <row r="175" spans="1:16" ht="30" customHeight="1">
      <c r="A175" s="34"/>
      <c r="B175" s="34"/>
      <c r="C175" s="34"/>
      <c r="D175" s="34"/>
      <c r="E175" s="34"/>
      <c r="F175" s="34"/>
      <c r="G175" s="34"/>
      <c r="H175" s="34"/>
      <c r="I175" s="34"/>
      <c r="J175" s="34"/>
      <c r="K175" s="34"/>
      <c r="L175" s="34"/>
      <c r="M175" s="35"/>
      <c r="N175" s="34"/>
      <c r="O175" s="34"/>
      <c r="P175" s="34"/>
    </row>
    <row r="176" spans="1:16" ht="30" customHeight="1">
      <c r="A176" s="34"/>
      <c r="B176" s="34"/>
      <c r="C176" s="34"/>
      <c r="D176" s="34"/>
      <c r="E176" s="34"/>
      <c r="F176" s="34"/>
      <c r="G176" s="34"/>
      <c r="H176" s="34"/>
      <c r="I176" s="34"/>
      <c r="J176" s="34"/>
      <c r="K176" s="34"/>
      <c r="L176" s="34"/>
      <c r="M176" s="35"/>
      <c r="N176" s="34"/>
      <c r="O176" s="34"/>
      <c r="P176" s="34"/>
    </row>
    <row r="177" spans="1:16" ht="30" customHeight="1">
      <c r="A177" s="34"/>
      <c r="B177" s="34"/>
      <c r="C177" s="34"/>
      <c r="D177" s="34"/>
      <c r="E177" s="34"/>
      <c r="F177" s="34"/>
      <c r="G177" s="34"/>
      <c r="H177" s="34"/>
      <c r="I177" s="34"/>
      <c r="J177" s="34"/>
      <c r="K177" s="34"/>
      <c r="L177" s="34"/>
      <c r="M177" s="35"/>
      <c r="N177" s="34"/>
      <c r="O177" s="34"/>
      <c r="P177" s="34"/>
    </row>
    <row r="178" spans="1:16" ht="30" customHeight="1">
      <c r="A178" s="34"/>
      <c r="B178" s="34"/>
      <c r="C178" s="34"/>
      <c r="D178" s="34"/>
      <c r="E178" s="34"/>
      <c r="F178" s="34"/>
      <c r="G178" s="34"/>
      <c r="H178" s="34"/>
      <c r="I178" s="34"/>
      <c r="J178" s="34"/>
      <c r="K178" s="34"/>
      <c r="L178" s="34"/>
      <c r="M178" s="35"/>
      <c r="N178" s="34"/>
      <c r="O178" s="34"/>
      <c r="P178" s="34"/>
    </row>
    <row r="179" spans="1:16" ht="30" customHeight="1">
      <c r="A179" s="34"/>
      <c r="B179" s="34"/>
      <c r="C179" s="34"/>
      <c r="D179" s="34"/>
      <c r="E179" s="34"/>
      <c r="F179" s="34"/>
      <c r="G179" s="34"/>
      <c r="H179" s="34"/>
      <c r="I179" s="34"/>
      <c r="J179" s="34"/>
      <c r="K179" s="34"/>
      <c r="L179" s="34"/>
      <c r="M179" s="35"/>
      <c r="N179" s="34"/>
      <c r="O179" s="34"/>
      <c r="P179" s="34"/>
    </row>
    <row r="180" spans="1:16" ht="30" customHeight="1">
      <c r="A180" s="34"/>
      <c r="B180" s="34"/>
      <c r="C180" s="34"/>
      <c r="D180" s="34"/>
      <c r="E180" s="34"/>
      <c r="F180" s="34"/>
      <c r="G180" s="34"/>
      <c r="H180" s="34"/>
      <c r="I180" s="34"/>
      <c r="J180" s="34"/>
      <c r="K180" s="34"/>
      <c r="L180" s="34"/>
      <c r="M180" s="35"/>
      <c r="N180" s="34"/>
      <c r="O180" s="34"/>
      <c r="P180" s="34"/>
    </row>
    <row r="181" spans="1:16" ht="30" customHeight="1">
      <c r="A181" s="34"/>
      <c r="B181" s="34"/>
      <c r="C181" s="34"/>
      <c r="D181" s="34"/>
      <c r="E181" s="34"/>
      <c r="F181" s="34"/>
      <c r="G181" s="34"/>
      <c r="H181" s="34"/>
      <c r="I181" s="34"/>
      <c r="J181" s="34"/>
      <c r="K181" s="34"/>
      <c r="L181" s="34"/>
      <c r="M181" s="35"/>
      <c r="N181" s="34"/>
      <c r="O181" s="34"/>
      <c r="P181" s="34"/>
    </row>
    <row r="182" spans="1:16" ht="30" customHeight="1">
      <c r="A182" s="34"/>
      <c r="B182" s="34"/>
      <c r="C182" s="34"/>
      <c r="D182" s="34"/>
      <c r="E182" s="34"/>
      <c r="F182" s="34"/>
      <c r="G182" s="34"/>
      <c r="H182" s="34"/>
      <c r="I182" s="34"/>
      <c r="J182" s="34"/>
      <c r="K182" s="34"/>
      <c r="L182" s="34"/>
      <c r="M182" s="35"/>
      <c r="N182" s="34"/>
      <c r="O182" s="34"/>
      <c r="P182" s="34"/>
    </row>
    <row r="183" spans="1:16" ht="30" customHeight="1">
      <c r="A183" s="34"/>
      <c r="B183" s="34"/>
      <c r="C183" s="34"/>
      <c r="D183" s="34"/>
      <c r="E183" s="34"/>
      <c r="F183" s="34"/>
      <c r="G183" s="34"/>
      <c r="H183" s="34"/>
      <c r="I183" s="34"/>
      <c r="J183" s="34"/>
      <c r="K183" s="34"/>
      <c r="L183" s="34"/>
      <c r="M183" s="35"/>
      <c r="N183" s="34"/>
      <c r="O183" s="34"/>
      <c r="P183" s="34"/>
    </row>
    <row r="184" spans="1:16" ht="30" customHeight="1">
      <c r="A184" s="34"/>
      <c r="B184" s="34"/>
      <c r="C184" s="34"/>
      <c r="D184" s="34"/>
      <c r="E184" s="34"/>
      <c r="F184" s="34"/>
      <c r="G184" s="34"/>
      <c r="H184" s="34"/>
      <c r="I184" s="34"/>
      <c r="J184" s="34"/>
      <c r="K184" s="34"/>
      <c r="L184" s="34"/>
      <c r="M184" s="35"/>
      <c r="N184" s="34"/>
      <c r="O184" s="34"/>
      <c r="P184" s="34"/>
    </row>
    <row r="185" spans="1:16" ht="30" customHeight="1">
      <c r="A185" s="34"/>
      <c r="B185" s="34"/>
      <c r="C185" s="34"/>
      <c r="D185" s="34"/>
      <c r="E185" s="34"/>
      <c r="F185" s="34"/>
      <c r="G185" s="34"/>
      <c r="H185" s="34"/>
      <c r="I185" s="34"/>
      <c r="J185" s="34"/>
      <c r="K185" s="34"/>
      <c r="L185" s="34"/>
      <c r="M185" s="35"/>
      <c r="N185" s="34"/>
      <c r="O185" s="34"/>
      <c r="P185" s="34"/>
    </row>
    <row r="186" spans="1:16" ht="30" customHeight="1">
      <c r="A186" s="34"/>
      <c r="B186" s="34"/>
      <c r="C186" s="34"/>
      <c r="D186" s="34"/>
      <c r="E186" s="34"/>
      <c r="F186" s="34"/>
      <c r="G186" s="34"/>
      <c r="H186" s="34"/>
      <c r="I186" s="34"/>
      <c r="J186" s="34"/>
      <c r="K186" s="34"/>
      <c r="L186" s="34"/>
      <c r="M186" s="35"/>
      <c r="N186" s="34"/>
      <c r="O186" s="34"/>
      <c r="P186" s="34"/>
    </row>
    <row r="187" spans="1:16" ht="30" customHeight="1">
      <c r="A187" s="34"/>
      <c r="B187" s="34"/>
      <c r="C187" s="34"/>
      <c r="D187" s="34"/>
      <c r="E187" s="34"/>
      <c r="F187" s="34"/>
      <c r="G187" s="34"/>
      <c r="H187" s="34"/>
      <c r="I187" s="34"/>
      <c r="J187" s="34"/>
      <c r="K187" s="34"/>
      <c r="L187" s="34"/>
      <c r="M187" s="35"/>
      <c r="N187" s="34"/>
      <c r="O187" s="34"/>
      <c r="P187" s="34"/>
    </row>
    <row r="188" spans="1:16" ht="30" customHeight="1">
      <c r="A188" s="34"/>
      <c r="B188" s="34"/>
      <c r="C188" s="34"/>
      <c r="D188" s="34"/>
      <c r="E188" s="34"/>
      <c r="F188" s="34"/>
      <c r="G188" s="34"/>
      <c r="H188" s="34"/>
      <c r="I188" s="34"/>
      <c r="J188" s="34"/>
      <c r="K188" s="34"/>
      <c r="L188" s="34"/>
      <c r="M188" s="35"/>
      <c r="N188" s="34"/>
      <c r="O188" s="34"/>
      <c r="P188" s="34"/>
    </row>
    <row r="189" spans="1:16" ht="30" customHeight="1">
      <c r="A189" s="34"/>
      <c r="B189" s="34"/>
      <c r="C189" s="34"/>
      <c r="D189" s="34"/>
      <c r="E189" s="34"/>
      <c r="F189" s="34"/>
      <c r="G189" s="34"/>
      <c r="H189" s="34"/>
      <c r="I189" s="34"/>
      <c r="J189" s="34"/>
      <c r="K189" s="34"/>
      <c r="L189" s="34"/>
      <c r="M189" s="35"/>
      <c r="N189" s="34"/>
      <c r="O189" s="34"/>
      <c r="P189" s="34"/>
    </row>
    <row r="190" spans="1:16" ht="30" customHeight="1">
      <c r="A190" s="34"/>
      <c r="B190" s="34"/>
      <c r="C190" s="34"/>
      <c r="D190" s="34"/>
      <c r="E190" s="34"/>
      <c r="F190" s="34"/>
      <c r="G190" s="34"/>
      <c r="H190" s="34"/>
      <c r="I190" s="34"/>
      <c r="J190" s="34"/>
      <c r="K190" s="34"/>
      <c r="L190" s="34"/>
      <c r="M190" s="35"/>
      <c r="N190" s="34"/>
      <c r="O190" s="34"/>
      <c r="P190" s="34"/>
    </row>
    <row r="191" spans="1:16" ht="30" customHeight="1">
      <c r="A191" s="34"/>
      <c r="B191" s="34"/>
      <c r="C191" s="34"/>
      <c r="D191" s="34"/>
      <c r="E191" s="34"/>
      <c r="F191" s="34"/>
      <c r="G191" s="34"/>
      <c r="H191" s="34"/>
      <c r="I191" s="34"/>
      <c r="J191" s="34"/>
      <c r="K191" s="34"/>
      <c r="L191" s="34"/>
      <c r="M191" s="35"/>
      <c r="N191" s="34"/>
      <c r="O191" s="34"/>
      <c r="P191" s="34"/>
    </row>
    <row r="192" spans="1:16" ht="30" customHeight="1">
      <c r="A192" s="34"/>
      <c r="B192" s="34"/>
      <c r="C192" s="34"/>
      <c r="D192" s="34"/>
      <c r="E192" s="34"/>
      <c r="F192" s="34"/>
      <c r="G192" s="34"/>
      <c r="H192" s="34"/>
      <c r="I192" s="34"/>
      <c r="J192" s="34"/>
      <c r="K192" s="34"/>
      <c r="L192" s="34"/>
      <c r="M192" s="35"/>
      <c r="N192" s="34"/>
      <c r="O192" s="34"/>
      <c r="P192" s="34"/>
    </row>
    <row r="193" spans="1:16" ht="30" customHeight="1">
      <c r="A193" s="34"/>
      <c r="B193" s="34"/>
      <c r="C193" s="34"/>
      <c r="D193" s="34"/>
      <c r="E193" s="34"/>
      <c r="F193" s="34"/>
      <c r="G193" s="34"/>
      <c r="H193" s="34"/>
      <c r="I193" s="34"/>
      <c r="J193" s="34"/>
      <c r="K193" s="34"/>
      <c r="L193" s="34"/>
      <c r="M193" s="35"/>
      <c r="N193" s="34"/>
      <c r="O193" s="34"/>
      <c r="P193" s="34"/>
    </row>
    <row r="194" spans="1:16" ht="30" customHeight="1">
      <c r="A194" s="34"/>
      <c r="B194" s="34"/>
      <c r="C194" s="34"/>
      <c r="D194" s="34"/>
      <c r="E194" s="34"/>
      <c r="F194" s="34"/>
      <c r="G194" s="34"/>
      <c r="H194" s="34"/>
      <c r="I194" s="34"/>
      <c r="J194" s="34"/>
      <c r="K194" s="34"/>
      <c r="L194" s="34"/>
      <c r="M194" s="35"/>
      <c r="N194" s="34"/>
      <c r="O194" s="34"/>
      <c r="P194" s="34"/>
    </row>
    <row r="195" spans="1:16" ht="30" customHeight="1">
      <c r="A195" s="34"/>
      <c r="B195" s="34"/>
      <c r="C195" s="34"/>
      <c r="D195" s="34"/>
      <c r="E195" s="34"/>
      <c r="F195" s="34"/>
      <c r="G195" s="34"/>
      <c r="H195" s="34"/>
      <c r="I195" s="34"/>
      <c r="J195" s="34"/>
      <c r="K195" s="34"/>
      <c r="L195" s="34"/>
      <c r="M195" s="35"/>
      <c r="N195" s="34"/>
      <c r="O195" s="34"/>
      <c r="P195" s="34"/>
    </row>
    <row r="196" spans="1:16" ht="30" customHeight="1">
      <c r="A196" s="34"/>
      <c r="B196" s="34"/>
      <c r="C196" s="34"/>
      <c r="D196" s="34"/>
      <c r="E196" s="34"/>
      <c r="F196" s="34"/>
      <c r="G196" s="34"/>
      <c r="H196" s="34"/>
      <c r="I196" s="34"/>
      <c r="J196" s="34"/>
      <c r="K196" s="34"/>
      <c r="L196" s="34"/>
      <c r="M196" s="35"/>
      <c r="N196" s="34"/>
      <c r="O196" s="34"/>
      <c r="P196" s="34"/>
    </row>
    <row r="197" spans="1:16" ht="30" customHeight="1">
      <c r="A197" s="34"/>
      <c r="B197" s="34"/>
      <c r="C197" s="34"/>
      <c r="D197" s="34"/>
      <c r="E197" s="34"/>
      <c r="F197" s="34"/>
      <c r="G197" s="34"/>
      <c r="H197" s="34"/>
      <c r="I197" s="34"/>
      <c r="J197" s="34"/>
      <c r="K197" s="34"/>
      <c r="L197" s="34"/>
      <c r="M197" s="35"/>
      <c r="N197" s="34"/>
      <c r="O197" s="34"/>
      <c r="P197" s="34"/>
    </row>
    <row r="198" spans="1:16" ht="30" customHeight="1">
      <c r="A198" s="34"/>
      <c r="B198" s="34"/>
      <c r="C198" s="34"/>
      <c r="D198" s="34"/>
      <c r="E198" s="34"/>
      <c r="F198" s="34"/>
      <c r="G198" s="34"/>
      <c r="H198" s="34"/>
      <c r="I198" s="34"/>
      <c r="J198" s="34"/>
      <c r="K198" s="34"/>
      <c r="L198" s="34"/>
      <c r="M198" s="35"/>
      <c r="N198" s="34"/>
      <c r="O198" s="34"/>
      <c r="P198" s="34"/>
    </row>
    <row r="199" spans="1:16" ht="30" customHeight="1">
      <c r="A199" s="34"/>
      <c r="B199" s="34"/>
      <c r="C199" s="34"/>
      <c r="D199" s="34"/>
      <c r="E199" s="34"/>
      <c r="F199" s="34"/>
      <c r="G199" s="34"/>
      <c r="H199" s="34"/>
      <c r="I199" s="34"/>
      <c r="J199" s="34"/>
      <c r="K199" s="34"/>
      <c r="L199" s="34"/>
      <c r="M199" s="35"/>
      <c r="N199" s="34"/>
      <c r="O199" s="34"/>
      <c r="P199" s="34"/>
    </row>
    <row r="200" spans="1:16" ht="30" customHeight="1">
      <c r="A200" s="34"/>
      <c r="B200" s="34"/>
      <c r="C200" s="34"/>
      <c r="D200" s="34"/>
      <c r="E200" s="34"/>
      <c r="F200" s="34"/>
      <c r="G200" s="34"/>
      <c r="H200" s="34"/>
      <c r="I200" s="34"/>
      <c r="J200" s="34"/>
      <c r="K200" s="34"/>
      <c r="L200" s="34"/>
      <c r="M200" s="35"/>
      <c r="N200" s="34"/>
      <c r="O200" s="34"/>
      <c r="P200" s="34"/>
    </row>
    <row r="201" spans="1:16" ht="30" customHeight="1">
      <c r="A201" s="34"/>
      <c r="B201" s="34"/>
      <c r="C201" s="34"/>
      <c r="D201" s="34"/>
      <c r="E201" s="34"/>
      <c r="F201" s="34"/>
      <c r="G201" s="34"/>
      <c r="H201" s="34"/>
      <c r="I201" s="34"/>
      <c r="J201" s="34"/>
      <c r="K201" s="34"/>
      <c r="L201" s="34"/>
      <c r="M201" s="35"/>
      <c r="N201" s="34"/>
      <c r="O201" s="34"/>
      <c r="P201" s="34"/>
    </row>
    <row r="202" spans="1:16" ht="30" customHeight="1">
      <c r="A202" s="34"/>
      <c r="B202" s="34"/>
      <c r="C202" s="34"/>
      <c r="D202" s="34"/>
      <c r="E202" s="34"/>
      <c r="F202" s="34"/>
      <c r="G202" s="34"/>
      <c r="H202" s="34"/>
      <c r="I202" s="34"/>
      <c r="J202" s="34"/>
      <c r="K202" s="34"/>
      <c r="L202" s="34"/>
      <c r="M202" s="35"/>
      <c r="N202" s="34"/>
      <c r="O202" s="34"/>
      <c r="P202" s="34"/>
    </row>
    <row r="203" spans="1:16" ht="30" customHeight="1">
      <c r="A203" s="34"/>
      <c r="B203" s="34"/>
      <c r="C203" s="34"/>
      <c r="D203" s="34"/>
      <c r="E203" s="34"/>
      <c r="F203" s="34"/>
      <c r="G203" s="34"/>
      <c r="H203" s="34"/>
      <c r="I203" s="34"/>
      <c r="J203" s="34"/>
      <c r="K203" s="34"/>
      <c r="L203" s="34"/>
      <c r="M203" s="35"/>
      <c r="N203" s="34"/>
      <c r="O203" s="34"/>
      <c r="P203" s="34"/>
    </row>
    <row r="204" spans="1:16" ht="30" customHeight="1">
      <c r="A204" s="34"/>
      <c r="B204" s="34"/>
      <c r="C204" s="34"/>
      <c r="D204" s="34"/>
      <c r="E204" s="34"/>
      <c r="F204" s="34"/>
      <c r="G204" s="34"/>
      <c r="H204" s="34"/>
      <c r="I204" s="34"/>
      <c r="J204" s="34"/>
      <c r="K204" s="34"/>
      <c r="L204" s="34"/>
      <c r="M204" s="35"/>
      <c r="N204" s="34"/>
      <c r="O204" s="34"/>
      <c r="P204" s="34"/>
    </row>
    <row r="205" spans="1:16" ht="30" customHeight="1">
      <c r="A205" s="34"/>
      <c r="B205" s="34"/>
      <c r="C205" s="34"/>
      <c r="D205" s="34"/>
      <c r="E205" s="34"/>
      <c r="F205" s="34"/>
      <c r="G205" s="34"/>
      <c r="H205" s="34"/>
      <c r="I205" s="34"/>
      <c r="J205" s="34"/>
      <c r="K205" s="34"/>
      <c r="L205" s="34"/>
      <c r="M205" s="35"/>
      <c r="N205" s="34"/>
      <c r="O205" s="34"/>
      <c r="P205" s="34"/>
    </row>
    <row r="206" spans="1:16" ht="30" customHeight="1">
      <c r="A206" s="34"/>
      <c r="B206" s="34"/>
      <c r="C206" s="34"/>
      <c r="D206" s="34"/>
      <c r="E206" s="34"/>
      <c r="F206" s="34"/>
      <c r="G206" s="34"/>
      <c r="H206" s="34"/>
      <c r="I206" s="34"/>
      <c r="J206" s="34"/>
      <c r="K206" s="34"/>
      <c r="L206" s="34"/>
      <c r="M206" s="35"/>
      <c r="N206" s="34"/>
      <c r="O206" s="34"/>
      <c r="P206" s="34"/>
    </row>
    <row r="207" spans="1:16" ht="30" customHeight="1">
      <c r="A207" s="34"/>
      <c r="B207" s="34"/>
      <c r="C207" s="34"/>
      <c r="D207" s="34"/>
      <c r="E207" s="34"/>
      <c r="F207" s="34"/>
      <c r="G207" s="34"/>
      <c r="H207" s="34"/>
      <c r="I207" s="34"/>
      <c r="J207" s="34"/>
      <c r="K207" s="34"/>
      <c r="L207" s="34"/>
      <c r="M207" s="35"/>
      <c r="N207" s="34"/>
      <c r="O207" s="34"/>
      <c r="P207" s="34"/>
    </row>
    <row r="208" spans="1:16" ht="30" customHeight="1">
      <c r="A208" s="34"/>
      <c r="B208" s="34"/>
      <c r="C208" s="34"/>
      <c r="D208" s="34"/>
      <c r="E208" s="34"/>
      <c r="F208" s="34"/>
      <c r="G208" s="34"/>
      <c r="H208" s="34"/>
      <c r="I208" s="34"/>
      <c r="J208" s="34"/>
      <c r="K208" s="34"/>
      <c r="L208" s="34"/>
      <c r="M208" s="35"/>
      <c r="N208" s="34"/>
      <c r="O208" s="34"/>
      <c r="P208" s="34"/>
    </row>
    <row r="209" spans="1:16" ht="30" customHeight="1">
      <c r="A209" s="34"/>
      <c r="B209" s="34"/>
      <c r="C209" s="34"/>
      <c r="D209" s="34"/>
      <c r="E209" s="34"/>
      <c r="F209" s="34"/>
      <c r="G209" s="34"/>
      <c r="H209" s="34"/>
      <c r="I209" s="34"/>
      <c r="J209" s="34"/>
      <c r="K209" s="34"/>
      <c r="L209" s="34"/>
      <c r="M209" s="35"/>
      <c r="N209" s="34"/>
      <c r="O209" s="34"/>
      <c r="P209" s="34"/>
    </row>
    <row r="210" spans="1:16" ht="30" customHeight="1">
      <c r="A210" s="34"/>
      <c r="B210" s="34"/>
      <c r="C210" s="34"/>
      <c r="D210" s="34"/>
      <c r="E210" s="34"/>
      <c r="F210" s="34"/>
      <c r="G210" s="34"/>
      <c r="H210" s="34"/>
      <c r="I210" s="34"/>
      <c r="J210" s="34"/>
      <c r="K210" s="34"/>
      <c r="L210" s="34"/>
      <c r="M210" s="35"/>
      <c r="N210" s="34"/>
      <c r="O210" s="34"/>
      <c r="P210" s="34"/>
    </row>
    <row r="211" spans="1:16" ht="30" customHeight="1">
      <c r="A211" s="34"/>
      <c r="B211" s="34"/>
      <c r="C211" s="34"/>
      <c r="D211" s="34"/>
      <c r="E211" s="34"/>
      <c r="F211" s="34"/>
      <c r="G211" s="34"/>
      <c r="H211" s="34"/>
      <c r="I211" s="34"/>
      <c r="J211" s="34"/>
      <c r="K211" s="34"/>
      <c r="L211" s="34"/>
      <c r="M211" s="35"/>
      <c r="N211" s="34"/>
      <c r="O211" s="34"/>
      <c r="P211" s="34"/>
    </row>
    <row r="212" spans="1:16" ht="30" customHeight="1">
      <c r="A212" s="34"/>
      <c r="B212" s="34"/>
      <c r="C212" s="34"/>
      <c r="D212" s="34"/>
      <c r="E212" s="34"/>
      <c r="F212" s="34"/>
      <c r="G212" s="34"/>
      <c r="H212" s="34"/>
      <c r="I212" s="34"/>
      <c r="J212" s="34"/>
      <c r="K212" s="34"/>
      <c r="L212" s="34"/>
      <c r="M212" s="35"/>
      <c r="N212" s="34"/>
      <c r="O212" s="34"/>
      <c r="P212" s="34"/>
    </row>
    <row r="213" spans="1:16" ht="30" customHeight="1">
      <c r="A213" s="34"/>
      <c r="B213" s="34"/>
      <c r="C213" s="34"/>
      <c r="D213" s="34"/>
      <c r="E213" s="34"/>
      <c r="F213" s="34"/>
      <c r="G213" s="34"/>
      <c r="H213" s="34"/>
      <c r="I213" s="34"/>
      <c r="J213" s="34"/>
      <c r="K213" s="34"/>
      <c r="L213" s="34"/>
      <c r="M213" s="35"/>
      <c r="N213" s="34"/>
      <c r="O213" s="34"/>
      <c r="P213" s="34"/>
    </row>
    <row r="214" spans="1:16" ht="30" customHeight="1">
      <c r="A214" s="34"/>
      <c r="B214" s="34"/>
      <c r="C214" s="34"/>
      <c r="D214" s="34"/>
      <c r="E214" s="34"/>
      <c r="F214" s="34"/>
      <c r="G214" s="34"/>
      <c r="H214" s="34"/>
      <c r="I214" s="34"/>
      <c r="J214" s="34"/>
      <c r="K214" s="34"/>
      <c r="L214" s="34"/>
      <c r="M214" s="35"/>
      <c r="N214" s="34"/>
      <c r="O214" s="34"/>
      <c r="P214" s="34"/>
    </row>
    <row r="215" spans="1:16" ht="30" customHeight="1">
      <c r="A215" s="34"/>
      <c r="B215" s="34"/>
      <c r="C215" s="34"/>
      <c r="D215" s="34"/>
      <c r="E215" s="34"/>
      <c r="F215" s="34"/>
      <c r="G215" s="34"/>
      <c r="H215" s="34"/>
      <c r="I215" s="34"/>
      <c r="J215" s="34"/>
      <c r="K215" s="34"/>
      <c r="L215" s="34"/>
      <c r="M215" s="35"/>
      <c r="N215" s="34"/>
      <c r="O215" s="34"/>
      <c r="P215" s="34"/>
    </row>
    <row r="216" spans="1:16" ht="30" customHeight="1">
      <c r="A216" s="34"/>
      <c r="B216" s="34"/>
      <c r="C216" s="34"/>
      <c r="D216" s="34"/>
      <c r="E216" s="34"/>
      <c r="F216" s="34"/>
      <c r="G216" s="34"/>
      <c r="H216" s="34"/>
      <c r="I216" s="34"/>
      <c r="J216" s="34"/>
      <c r="K216" s="34"/>
      <c r="L216" s="34"/>
      <c r="M216" s="35"/>
      <c r="N216" s="34"/>
      <c r="O216" s="34"/>
      <c r="P216" s="34"/>
    </row>
    <row r="217" spans="1:16" ht="30" customHeight="1">
      <c r="A217" s="34"/>
      <c r="B217" s="34"/>
      <c r="C217" s="34"/>
      <c r="D217" s="34"/>
      <c r="E217" s="34"/>
      <c r="F217" s="34"/>
      <c r="G217" s="34"/>
      <c r="H217" s="34"/>
      <c r="I217" s="34"/>
      <c r="J217" s="34"/>
      <c r="K217" s="34"/>
      <c r="L217" s="34"/>
      <c r="M217" s="35"/>
      <c r="N217" s="34"/>
      <c r="O217" s="34"/>
      <c r="P217" s="34"/>
    </row>
    <row r="218" spans="1:16" ht="30" customHeight="1">
      <c r="A218" s="34"/>
      <c r="B218" s="34"/>
      <c r="C218" s="34"/>
      <c r="D218" s="34"/>
      <c r="E218" s="34"/>
      <c r="F218" s="34"/>
      <c r="G218" s="34"/>
      <c r="H218" s="34"/>
      <c r="I218" s="34"/>
      <c r="J218" s="34"/>
      <c r="K218" s="34"/>
      <c r="L218" s="34"/>
      <c r="M218" s="35"/>
      <c r="N218" s="34"/>
      <c r="O218" s="34"/>
      <c r="P218" s="34"/>
    </row>
    <row r="219" spans="1:16" ht="30" customHeight="1">
      <c r="A219" s="34"/>
      <c r="B219" s="34"/>
      <c r="C219" s="34"/>
      <c r="D219" s="34"/>
      <c r="E219" s="34"/>
      <c r="F219" s="34"/>
      <c r="G219" s="34"/>
      <c r="H219" s="34"/>
      <c r="I219" s="34"/>
      <c r="J219" s="34"/>
      <c r="K219" s="34"/>
      <c r="L219" s="34"/>
      <c r="M219" s="35"/>
      <c r="N219" s="34"/>
      <c r="O219" s="34"/>
      <c r="P219" s="34"/>
    </row>
    <row r="220" spans="1:16" ht="30" customHeight="1">
      <c r="A220" s="34"/>
      <c r="B220" s="34"/>
      <c r="C220" s="34"/>
      <c r="D220" s="34"/>
      <c r="E220" s="34"/>
      <c r="F220" s="34"/>
      <c r="G220" s="34"/>
      <c r="H220" s="34"/>
      <c r="I220" s="34"/>
      <c r="J220" s="34"/>
      <c r="K220" s="34"/>
      <c r="L220" s="34"/>
      <c r="M220" s="35"/>
      <c r="N220" s="34"/>
      <c r="O220" s="34"/>
      <c r="P220" s="34"/>
    </row>
    <row r="221" spans="1:16" ht="30" customHeight="1">
      <c r="A221" s="34"/>
      <c r="B221" s="34"/>
      <c r="C221" s="34"/>
      <c r="D221" s="34"/>
      <c r="E221" s="34"/>
      <c r="F221" s="34"/>
      <c r="G221" s="34"/>
      <c r="H221" s="34"/>
      <c r="I221" s="34"/>
      <c r="J221" s="34"/>
      <c r="K221" s="34"/>
      <c r="L221" s="34"/>
      <c r="M221" s="35"/>
      <c r="N221" s="34"/>
      <c r="O221" s="34"/>
      <c r="P221" s="34"/>
    </row>
    <row r="222" spans="1:16" ht="30" customHeight="1">
      <c r="A222" s="34"/>
      <c r="B222" s="34"/>
      <c r="C222" s="34"/>
      <c r="D222" s="34"/>
      <c r="E222" s="34"/>
      <c r="F222" s="34"/>
      <c r="G222" s="34"/>
      <c r="H222" s="34"/>
      <c r="I222" s="34"/>
      <c r="J222" s="34"/>
      <c r="K222" s="34"/>
      <c r="L222" s="34"/>
      <c r="M222" s="35"/>
      <c r="N222" s="34"/>
      <c r="O222" s="34"/>
      <c r="P222" s="34"/>
    </row>
    <row r="223" spans="1:16" ht="30" customHeight="1">
      <c r="A223" s="34"/>
      <c r="B223" s="34"/>
      <c r="C223" s="34"/>
      <c r="D223" s="34"/>
      <c r="E223" s="34"/>
      <c r="F223" s="34"/>
      <c r="G223" s="34"/>
      <c r="H223" s="34"/>
      <c r="I223" s="34"/>
      <c r="J223" s="34"/>
      <c r="K223" s="34"/>
      <c r="L223" s="34"/>
      <c r="M223" s="35"/>
      <c r="N223" s="34"/>
      <c r="O223" s="34"/>
      <c r="P223" s="34"/>
    </row>
    <row r="224" spans="1:16" ht="30" customHeight="1">
      <c r="A224" s="34"/>
      <c r="B224" s="34"/>
      <c r="C224" s="34"/>
      <c r="D224" s="34"/>
      <c r="E224" s="34"/>
      <c r="F224" s="34"/>
      <c r="G224" s="34"/>
      <c r="H224" s="34"/>
      <c r="I224" s="34"/>
      <c r="J224" s="34"/>
      <c r="K224" s="34"/>
      <c r="L224" s="34"/>
      <c r="M224" s="35"/>
      <c r="N224" s="34"/>
      <c r="O224" s="34"/>
      <c r="P224" s="34"/>
    </row>
    <row r="225" spans="1:16" ht="30" customHeight="1">
      <c r="A225" s="34"/>
      <c r="B225" s="34"/>
      <c r="C225" s="34"/>
      <c r="D225" s="34"/>
      <c r="E225" s="34"/>
      <c r="F225" s="34"/>
      <c r="G225" s="34"/>
      <c r="H225" s="34"/>
      <c r="I225" s="34"/>
      <c r="J225" s="34"/>
      <c r="K225" s="34"/>
      <c r="L225" s="34"/>
      <c r="M225" s="35"/>
      <c r="N225" s="34"/>
      <c r="O225" s="34"/>
      <c r="P225" s="34"/>
    </row>
    <row r="226" spans="1:16" ht="30" customHeight="1">
      <c r="A226" s="34"/>
      <c r="B226" s="34"/>
      <c r="C226" s="34"/>
      <c r="D226" s="34"/>
      <c r="E226" s="34"/>
      <c r="F226" s="34"/>
      <c r="G226" s="34"/>
      <c r="H226" s="34"/>
      <c r="I226" s="34"/>
      <c r="J226" s="34"/>
      <c r="K226" s="34"/>
      <c r="L226" s="34"/>
      <c r="M226" s="35"/>
      <c r="N226" s="34"/>
      <c r="O226" s="34"/>
      <c r="P226" s="34"/>
    </row>
    <row r="227" spans="1:16" ht="30" customHeight="1">
      <c r="A227" s="34"/>
      <c r="B227" s="34"/>
      <c r="C227" s="34"/>
      <c r="D227" s="34"/>
      <c r="E227" s="34"/>
      <c r="F227" s="34"/>
      <c r="G227" s="34"/>
      <c r="H227" s="34"/>
      <c r="I227" s="34"/>
      <c r="J227" s="34"/>
      <c r="K227" s="34"/>
      <c r="L227" s="34"/>
      <c r="M227" s="35"/>
      <c r="N227" s="34"/>
      <c r="O227" s="34"/>
      <c r="P227" s="34"/>
    </row>
    <row r="228" spans="1:16" ht="30" customHeight="1">
      <c r="A228" s="34"/>
      <c r="B228" s="34"/>
      <c r="C228" s="34"/>
      <c r="D228" s="34"/>
      <c r="E228" s="34"/>
      <c r="F228" s="34"/>
      <c r="G228" s="34"/>
      <c r="H228" s="34"/>
      <c r="I228" s="34"/>
      <c r="J228" s="34"/>
      <c r="K228" s="34"/>
      <c r="L228" s="34"/>
      <c r="M228" s="35"/>
      <c r="N228" s="34"/>
      <c r="O228" s="34"/>
      <c r="P228" s="34"/>
    </row>
    <row r="229" spans="1:16" ht="30" customHeight="1">
      <c r="A229" s="34"/>
      <c r="B229" s="34"/>
      <c r="C229" s="34"/>
      <c r="D229" s="34"/>
      <c r="E229" s="34"/>
      <c r="F229" s="34"/>
      <c r="G229" s="34"/>
      <c r="H229" s="34"/>
      <c r="I229" s="34"/>
      <c r="J229" s="34"/>
      <c r="K229" s="34"/>
      <c r="L229" s="34"/>
      <c r="M229" s="35"/>
      <c r="N229" s="34"/>
      <c r="O229" s="34"/>
      <c r="P229" s="34"/>
    </row>
    <row r="230" spans="1:16" ht="30" customHeight="1">
      <c r="A230" s="34"/>
      <c r="B230" s="34"/>
      <c r="C230" s="34"/>
      <c r="D230" s="34"/>
      <c r="E230" s="34"/>
      <c r="F230" s="34"/>
      <c r="G230" s="34"/>
      <c r="H230" s="34"/>
      <c r="I230" s="34"/>
      <c r="J230" s="34"/>
      <c r="K230" s="34"/>
      <c r="L230" s="34"/>
      <c r="M230" s="35"/>
      <c r="N230" s="34"/>
      <c r="O230" s="34"/>
      <c r="P230" s="34"/>
    </row>
    <row r="231" spans="1:16" ht="30" customHeight="1">
      <c r="A231" s="34"/>
      <c r="B231" s="34"/>
      <c r="C231" s="34"/>
      <c r="D231" s="34"/>
      <c r="E231" s="34"/>
      <c r="F231" s="34"/>
      <c r="G231" s="34"/>
      <c r="H231" s="34"/>
      <c r="I231" s="34"/>
      <c r="J231" s="34"/>
      <c r="K231" s="34"/>
      <c r="L231" s="34"/>
      <c r="M231" s="35"/>
      <c r="N231" s="34"/>
      <c r="O231" s="34"/>
      <c r="P231" s="34"/>
    </row>
    <row r="232" spans="1:16" ht="30" customHeight="1">
      <c r="A232" s="34"/>
      <c r="B232" s="34"/>
      <c r="C232" s="34"/>
      <c r="D232" s="34"/>
      <c r="E232" s="34"/>
      <c r="F232" s="34"/>
      <c r="G232" s="34"/>
      <c r="H232" s="34"/>
      <c r="I232" s="34"/>
      <c r="J232" s="34"/>
      <c r="K232" s="34"/>
      <c r="L232" s="34"/>
      <c r="M232" s="35"/>
      <c r="N232" s="34"/>
      <c r="O232" s="34"/>
      <c r="P232" s="34"/>
    </row>
    <row r="233" spans="1:16" ht="30" customHeight="1">
      <c r="A233" s="34"/>
      <c r="B233" s="34"/>
      <c r="C233" s="34"/>
      <c r="D233" s="34"/>
      <c r="E233" s="34"/>
      <c r="F233" s="34"/>
      <c r="G233" s="34"/>
      <c r="H233" s="34"/>
      <c r="I233" s="34"/>
      <c r="J233" s="34"/>
      <c r="K233" s="34"/>
      <c r="L233" s="34"/>
      <c r="M233" s="35"/>
      <c r="N233" s="34"/>
      <c r="O233" s="34"/>
      <c r="P233" s="34"/>
    </row>
    <row r="234" spans="1:16" ht="30" customHeight="1">
      <c r="A234" s="34"/>
      <c r="B234" s="34"/>
      <c r="C234" s="34"/>
      <c r="D234" s="34"/>
      <c r="E234" s="34"/>
      <c r="F234" s="34"/>
      <c r="G234" s="34"/>
      <c r="H234" s="34"/>
      <c r="I234" s="34"/>
      <c r="J234" s="34"/>
      <c r="K234" s="34"/>
      <c r="L234" s="34"/>
      <c r="M234" s="35"/>
      <c r="N234" s="34"/>
      <c r="O234" s="34"/>
      <c r="P234" s="34"/>
    </row>
    <row r="235" spans="1:16" ht="30" customHeight="1">
      <c r="A235" s="34"/>
      <c r="B235" s="34"/>
      <c r="C235" s="34"/>
      <c r="D235" s="34"/>
      <c r="E235" s="34"/>
      <c r="F235" s="34"/>
      <c r="G235" s="34"/>
      <c r="H235" s="34"/>
      <c r="I235" s="34"/>
      <c r="J235" s="34"/>
      <c r="K235" s="34"/>
      <c r="L235" s="34"/>
      <c r="M235" s="35"/>
      <c r="N235" s="34"/>
      <c r="O235" s="34"/>
      <c r="P235" s="34"/>
    </row>
    <row r="236" spans="1:16" ht="30" customHeight="1">
      <c r="A236" s="34"/>
      <c r="B236" s="34"/>
      <c r="C236" s="34"/>
      <c r="D236" s="34"/>
      <c r="E236" s="34"/>
      <c r="F236" s="34"/>
      <c r="G236" s="34"/>
      <c r="H236" s="34"/>
      <c r="I236" s="34"/>
      <c r="J236" s="34"/>
      <c r="K236" s="34"/>
      <c r="L236" s="34"/>
      <c r="M236" s="35"/>
      <c r="N236" s="34"/>
      <c r="O236" s="34"/>
      <c r="P236" s="34"/>
    </row>
    <row r="237" spans="1:16" ht="30" customHeight="1">
      <c r="A237" s="34"/>
      <c r="B237" s="34"/>
      <c r="C237" s="34"/>
      <c r="D237" s="34"/>
      <c r="E237" s="34"/>
      <c r="F237" s="34"/>
      <c r="G237" s="34"/>
      <c r="H237" s="34"/>
      <c r="I237" s="34"/>
      <c r="J237" s="34"/>
      <c r="K237" s="34"/>
      <c r="L237" s="34"/>
      <c r="M237" s="35"/>
      <c r="N237" s="34"/>
      <c r="O237" s="34"/>
      <c r="P237" s="34"/>
    </row>
    <row r="238" spans="1:16" ht="30" customHeight="1">
      <c r="A238" s="34"/>
      <c r="B238" s="34"/>
      <c r="C238" s="34"/>
      <c r="D238" s="34"/>
      <c r="E238" s="34"/>
      <c r="F238" s="34"/>
      <c r="G238" s="34"/>
      <c r="H238" s="34"/>
      <c r="I238" s="34"/>
      <c r="J238" s="34"/>
      <c r="K238" s="34"/>
      <c r="L238" s="34"/>
      <c r="M238" s="35"/>
      <c r="N238" s="34"/>
      <c r="O238" s="34"/>
      <c r="P238" s="34"/>
    </row>
    <row r="239" spans="1:16" ht="30" customHeight="1">
      <c r="A239" s="34"/>
      <c r="B239" s="34"/>
      <c r="C239" s="34"/>
      <c r="D239" s="34"/>
      <c r="E239" s="34"/>
      <c r="F239" s="34"/>
      <c r="G239" s="34"/>
      <c r="H239" s="34"/>
      <c r="I239" s="34"/>
      <c r="J239" s="34"/>
      <c r="K239" s="34"/>
      <c r="L239" s="34"/>
      <c r="M239" s="35"/>
      <c r="N239" s="34"/>
      <c r="O239" s="34"/>
      <c r="P239" s="34"/>
    </row>
    <row r="240" spans="1:16" ht="30" customHeight="1">
      <c r="A240" s="34"/>
      <c r="B240" s="34"/>
      <c r="C240" s="34"/>
      <c r="D240" s="34"/>
      <c r="E240" s="34"/>
      <c r="F240" s="34"/>
      <c r="G240" s="34"/>
      <c r="H240" s="34"/>
      <c r="I240" s="34"/>
      <c r="J240" s="34"/>
      <c r="K240" s="34"/>
      <c r="L240" s="34"/>
      <c r="M240" s="35"/>
      <c r="N240" s="34"/>
      <c r="O240" s="34"/>
      <c r="P240" s="34"/>
    </row>
    <row r="241" spans="1:16" ht="30" customHeight="1">
      <c r="A241" s="34"/>
      <c r="B241" s="34"/>
      <c r="C241" s="34"/>
      <c r="D241" s="34"/>
      <c r="E241" s="34"/>
      <c r="F241" s="34"/>
      <c r="G241" s="34"/>
      <c r="H241" s="34"/>
      <c r="I241" s="34"/>
      <c r="J241" s="34"/>
      <c r="K241" s="34"/>
      <c r="L241" s="34"/>
      <c r="M241" s="35"/>
      <c r="N241" s="34"/>
      <c r="O241" s="34"/>
      <c r="P241" s="34"/>
    </row>
    <row r="242" spans="1:16" ht="30" customHeight="1">
      <c r="A242" s="34"/>
      <c r="B242" s="34"/>
      <c r="C242" s="34"/>
      <c r="D242" s="34"/>
      <c r="E242" s="34"/>
      <c r="F242" s="34"/>
      <c r="G242" s="34"/>
      <c r="H242" s="34"/>
      <c r="I242" s="34"/>
      <c r="J242" s="34"/>
      <c r="K242" s="34"/>
      <c r="L242" s="34"/>
      <c r="M242" s="35"/>
      <c r="N242" s="34"/>
      <c r="O242" s="34"/>
      <c r="P242" s="34"/>
    </row>
    <row r="243" spans="1:16" ht="30" customHeight="1">
      <c r="A243" s="34"/>
      <c r="B243" s="34"/>
      <c r="C243" s="34"/>
      <c r="D243" s="34"/>
      <c r="E243" s="34"/>
      <c r="F243" s="34"/>
      <c r="G243" s="34"/>
      <c r="H243" s="34"/>
      <c r="I243" s="34"/>
      <c r="J243" s="34"/>
      <c r="K243" s="34"/>
      <c r="L243" s="34"/>
      <c r="M243" s="35"/>
      <c r="N243" s="34"/>
      <c r="O243" s="34"/>
      <c r="P243" s="34"/>
    </row>
    <row r="244" spans="1:16" ht="30" customHeight="1">
      <c r="A244" s="34"/>
      <c r="B244" s="34"/>
      <c r="C244" s="34"/>
      <c r="D244" s="34"/>
      <c r="E244" s="34"/>
      <c r="F244" s="34"/>
      <c r="G244" s="34"/>
      <c r="H244" s="34"/>
      <c r="I244" s="34"/>
      <c r="J244" s="34"/>
      <c r="K244" s="34"/>
      <c r="L244" s="34"/>
      <c r="M244" s="35"/>
      <c r="N244" s="34"/>
      <c r="O244" s="34"/>
      <c r="P244" s="34"/>
    </row>
    <row r="245" spans="1:16" ht="30" customHeight="1">
      <c r="A245" s="34"/>
      <c r="B245" s="34"/>
      <c r="C245" s="34"/>
      <c r="D245" s="34"/>
      <c r="E245" s="34"/>
      <c r="F245" s="34"/>
      <c r="G245" s="34"/>
      <c r="H245" s="34"/>
      <c r="I245" s="34"/>
      <c r="J245" s="34"/>
      <c r="K245" s="34"/>
      <c r="L245" s="34"/>
      <c r="M245" s="35"/>
      <c r="N245" s="34"/>
      <c r="O245" s="34"/>
      <c r="P245" s="34"/>
    </row>
    <row r="246" spans="1:16" ht="30" customHeight="1">
      <c r="A246" s="34"/>
      <c r="B246" s="34"/>
      <c r="C246" s="34"/>
      <c r="D246" s="34"/>
      <c r="E246" s="34"/>
      <c r="F246" s="34"/>
      <c r="G246" s="34"/>
      <c r="H246" s="34"/>
      <c r="I246" s="34"/>
      <c r="J246" s="34"/>
      <c r="K246" s="34"/>
      <c r="L246" s="34"/>
      <c r="M246" s="35"/>
      <c r="N246" s="34"/>
      <c r="O246" s="34"/>
      <c r="P246" s="34"/>
    </row>
    <row r="247" spans="1:16" ht="30" customHeight="1">
      <c r="A247" s="34"/>
      <c r="B247" s="34"/>
      <c r="C247" s="34"/>
      <c r="D247" s="34"/>
      <c r="E247" s="34"/>
      <c r="F247" s="34"/>
      <c r="G247" s="34"/>
      <c r="H247" s="34"/>
      <c r="I247" s="34"/>
      <c r="J247" s="34"/>
      <c r="K247" s="34"/>
      <c r="L247" s="34"/>
      <c r="M247" s="35"/>
      <c r="N247" s="34"/>
      <c r="O247" s="34"/>
      <c r="P247" s="34"/>
    </row>
    <row r="248" spans="1:16" ht="30" customHeight="1">
      <c r="A248" s="34"/>
      <c r="B248" s="34"/>
      <c r="C248" s="34"/>
      <c r="D248" s="34"/>
      <c r="E248" s="34"/>
      <c r="F248" s="34"/>
      <c r="G248" s="34"/>
      <c r="H248" s="34"/>
      <c r="I248" s="34"/>
      <c r="J248" s="34"/>
      <c r="K248" s="34"/>
      <c r="L248" s="34"/>
      <c r="M248" s="35"/>
      <c r="N248" s="34"/>
      <c r="O248" s="34"/>
      <c r="P248" s="34"/>
    </row>
    <row r="249" spans="1:16" ht="30" customHeight="1">
      <c r="A249" s="34"/>
      <c r="B249" s="34"/>
      <c r="C249" s="34"/>
      <c r="D249" s="34"/>
      <c r="E249" s="34"/>
      <c r="F249" s="34"/>
      <c r="G249" s="34"/>
      <c r="H249" s="34"/>
      <c r="I249" s="34"/>
      <c r="J249" s="34"/>
      <c r="K249" s="34"/>
      <c r="L249" s="34"/>
      <c r="M249" s="35"/>
      <c r="N249" s="34"/>
      <c r="O249" s="34"/>
      <c r="P249" s="34"/>
    </row>
    <row r="250" spans="1:16" ht="30" customHeight="1">
      <c r="A250" s="34"/>
      <c r="B250" s="34"/>
      <c r="C250" s="34"/>
      <c r="D250" s="34"/>
      <c r="E250" s="34"/>
      <c r="F250" s="34"/>
      <c r="G250" s="34"/>
      <c r="H250" s="34"/>
      <c r="I250" s="34"/>
      <c r="J250" s="34"/>
      <c r="K250" s="34"/>
      <c r="L250" s="34"/>
      <c r="M250" s="35"/>
      <c r="N250" s="34"/>
      <c r="O250" s="34"/>
      <c r="P250" s="34"/>
    </row>
    <row r="251" spans="1:16" ht="30" customHeight="1">
      <c r="A251" s="34"/>
      <c r="B251" s="34"/>
      <c r="C251" s="34"/>
      <c r="D251" s="34"/>
      <c r="E251" s="34"/>
      <c r="F251" s="34"/>
      <c r="G251" s="34"/>
      <c r="H251" s="34"/>
      <c r="I251" s="34"/>
      <c r="J251" s="34"/>
      <c r="K251" s="34"/>
      <c r="L251" s="34"/>
      <c r="M251" s="35"/>
      <c r="N251" s="34"/>
      <c r="O251" s="34"/>
      <c r="P251" s="34"/>
    </row>
    <row r="252" spans="1:16" ht="30" customHeight="1">
      <c r="A252" s="34"/>
      <c r="B252" s="34"/>
      <c r="C252" s="34"/>
      <c r="D252" s="34"/>
      <c r="E252" s="34"/>
      <c r="F252" s="34"/>
      <c r="G252" s="34"/>
      <c r="H252" s="34"/>
      <c r="I252" s="34"/>
      <c r="J252" s="34"/>
      <c r="K252" s="34"/>
      <c r="L252" s="34"/>
      <c r="M252" s="35"/>
      <c r="N252" s="34"/>
      <c r="O252" s="34"/>
      <c r="P252" s="34"/>
    </row>
    <row r="253" spans="1:16" ht="30" customHeight="1">
      <c r="A253" s="34"/>
      <c r="B253" s="34"/>
      <c r="C253" s="34"/>
      <c r="D253" s="34"/>
      <c r="E253" s="34"/>
      <c r="F253" s="34"/>
      <c r="G253" s="34"/>
      <c r="H253" s="34"/>
      <c r="I253" s="34"/>
      <c r="J253" s="34"/>
      <c r="K253" s="34"/>
      <c r="L253" s="34"/>
      <c r="M253" s="35"/>
      <c r="N253" s="34"/>
      <c r="O253" s="34"/>
      <c r="P253" s="34"/>
    </row>
    <row r="254" spans="1:16" ht="30" customHeight="1">
      <c r="A254" s="34"/>
      <c r="B254" s="34"/>
      <c r="C254" s="34"/>
      <c r="D254" s="34"/>
      <c r="E254" s="34"/>
      <c r="F254" s="34"/>
      <c r="G254" s="34"/>
      <c r="H254" s="34"/>
      <c r="I254" s="34"/>
      <c r="J254" s="34"/>
      <c r="K254" s="34"/>
      <c r="L254" s="34"/>
      <c r="M254" s="35"/>
      <c r="N254" s="34"/>
      <c r="O254" s="34"/>
      <c r="P254" s="34"/>
    </row>
    <row r="255" spans="1:16" ht="30" customHeight="1">
      <c r="A255" s="34"/>
      <c r="B255" s="34"/>
      <c r="C255" s="34"/>
      <c r="D255" s="34"/>
      <c r="E255" s="34"/>
      <c r="F255" s="34"/>
      <c r="G255" s="34"/>
      <c r="H255" s="34"/>
      <c r="I255" s="34"/>
      <c r="J255" s="34"/>
      <c r="K255" s="34"/>
      <c r="L255" s="34"/>
      <c r="M255" s="35"/>
      <c r="N255" s="34"/>
      <c r="O255" s="34"/>
      <c r="P255" s="34"/>
    </row>
    <row r="256" spans="1:16" ht="30" customHeight="1">
      <c r="A256" s="34"/>
      <c r="B256" s="34"/>
      <c r="C256" s="34"/>
      <c r="D256" s="34"/>
      <c r="E256" s="34"/>
      <c r="F256" s="34"/>
      <c r="G256" s="34"/>
      <c r="H256" s="34"/>
      <c r="I256" s="34"/>
      <c r="J256" s="34"/>
      <c r="K256" s="34"/>
      <c r="L256" s="34"/>
      <c r="M256" s="35"/>
      <c r="N256" s="34"/>
      <c r="O256" s="34"/>
      <c r="P256" s="34"/>
    </row>
    <row r="257" spans="1:16" ht="30" customHeight="1">
      <c r="A257" s="34"/>
      <c r="B257" s="34"/>
      <c r="C257" s="34"/>
      <c r="D257" s="34"/>
      <c r="E257" s="34"/>
      <c r="F257" s="34"/>
      <c r="G257" s="34"/>
      <c r="H257" s="34"/>
      <c r="I257" s="34"/>
      <c r="J257" s="34"/>
      <c r="K257" s="34"/>
      <c r="L257" s="34"/>
      <c r="M257" s="35"/>
      <c r="N257" s="34"/>
      <c r="O257" s="34"/>
      <c r="P257" s="34"/>
    </row>
    <row r="258" spans="1:16" ht="30" customHeight="1">
      <c r="A258" s="34"/>
      <c r="B258" s="34"/>
      <c r="C258" s="34"/>
      <c r="D258" s="34"/>
      <c r="E258" s="34"/>
      <c r="F258" s="34"/>
      <c r="G258" s="34"/>
      <c r="H258" s="34"/>
      <c r="I258" s="34"/>
      <c r="J258" s="34"/>
      <c r="K258" s="34"/>
      <c r="L258" s="34"/>
      <c r="M258" s="35"/>
      <c r="N258" s="34"/>
      <c r="O258" s="34"/>
      <c r="P258" s="34"/>
    </row>
    <row r="259" spans="1:16" ht="30" customHeight="1">
      <c r="A259" s="34"/>
      <c r="B259" s="34"/>
      <c r="C259" s="34"/>
      <c r="D259" s="34"/>
      <c r="E259" s="34"/>
      <c r="F259" s="34"/>
      <c r="G259" s="34"/>
      <c r="H259" s="34"/>
      <c r="I259" s="34"/>
      <c r="J259" s="34"/>
      <c r="K259" s="34"/>
      <c r="L259" s="34"/>
      <c r="M259" s="35"/>
      <c r="N259" s="34"/>
      <c r="O259" s="34"/>
      <c r="P259" s="34"/>
    </row>
    <row r="260" spans="1:16" ht="30" customHeight="1">
      <c r="A260" s="34"/>
      <c r="B260" s="34"/>
      <c r="C260" s="34"/>
      <c r="D260" s="34"/>
      <c r="E260" s="34"/>
      <c r="F260" s="34"/>
      <c r="G260" s="34"/>
      <c r="H260" s="34"/>
      <c r="I260" s="34"/>
      <c r="J260" s="34"/>
      <c r="K260" s="34"/>
      <c r="L260" s="34"/>
      <c r="M260" s="35"/>
      <c r="N260" s="34"/>
      <c r="O260" s="34"/>
      <c r="P260" s="34"/>
    </row>
    <row r="261" spans="1:16" ht="30" customHeight="1">
      <c r="A261" s="34"/>
      <c r="B261" s="34"/>
      <c r="C261" s="34"/>
      <c r="D261" s="34"/>
      <c r="E261" s="34"/>
      <c r="F261" s="34"/>
      <c r="G261" s="34"/>
      <c r="H261" s="34"/>
      <c r="I261" s="34"/>
      <c r="J261" s="34"/>
      <c r="K261" s="34"/>
      <c r="L261" s="34"/>
      <c r="M261" s="35"/>
      <c r="N261" s="34"/>
      <c r="O261" s="34"/>
      <c r="P261" s="34"/>
    </row>
    <row r="262" spans="1:16" ht="30" customHeight="1">
      <c r="A262" s="34"/>
      <c r="B262" s="34"/>
      <c r="C262" s="34"/>
      <c r="D262" s="34"/>
      <c r="E262" s="34"/>
      <c r="F262" s="34"/>
      <c r="G262" s="34"/>
      <c r="H262" s="34"/>
      <c r="I262" s="34"/>
      <c r="J262" s="34"/>
      <c r="K262" s="34"/>
      <c r="L262" s="34"/>
      <c r="M262" s="35"/>
      <c r="N262" s="34"/>
      <c r="O262" s="34"/>
      <c r="P262" s="34"/>
    </row>
    <row r="263" spans="1:16" ht="30" customHeight="1">
      <c r="A263" s="34"/>
      <c r="B263" s="34"/>
      <c r="C263" s="34"/>
      <c r="D263" s="34"/>
      <c r="E263" s="34"/>
      <c r="F263" s="34"/>
      <c r="G263" s="34"/>
      <c r="H263" s="34"/>
      <c r="I263" s="34"/>
      <c r="J263" s="34"/>
      <c r="K263" s="34"/>
      <c r="L263" s="34"/>
      <c r="M263" s="35"/>
      <c r="N263" s="34"/>
      <c r="O263" s="34"/>
      <c r="P263" s="34"/>
    </row>
    <row r="264" spans="1:16" ht="30" customHeight="1">
      <c r="A264" s="34"/>
      <c r="B264" s="34"/>
      <c r="C264" s="34"/>
      <c r="D264" s="34"/>
      <c r="E264" s="34"/>
      <c r="F264" s="34"/>
      <c r="G264" s="34"/>
      <c r="H264" s="34"/>
      <c r="I264" s="34"/>
      <c r="J264" s="34"/>
      <c r="K264" s="34"/>
      <c r="L264" s="34"/>
      <c r="M264" s="35"/>
      <c r="N264" s="34"/>
      <c r="O264" s="34"/>
      <c r="P264" s="34"/>
    </row>
    <row r="265" spans="1:16" ht="30" customHeight="1">
      <c r="A265" s="34"/>
      <c r="B265" s="34"/>
      <c r="C265" s="34"/>
      <c r="D265" s="34"/>
      <c r="E265" s="34"/>
      <c r="F265" s="34"/>
      <c r="G265" s="34"/>
      <c r="H265" s="34"/>
      <c r="I265" s="34"/>
      <c r="J265" s="34"/>
      <c r="K265" s="34"/>
      <c r="L265" s="34"/>
      <c r="M265" s="35"/>
      <c r="N265" s="34"/>
      <c r="O265" s="34"/>
      <c r="P265" s="34"/>
    </row>
    <row r="266" spans="1:16" ht="30" customHeight="1">
      <c r="A266" s="34"/>
      <c r="B266" s="34"/>
      <c r="C266" s="34"/>
      <c r="D266" s="34"/>
      <c r="E266" s="34"/>
      <c r="F266" s="34"/>
      <c r="G266" s="34"/>
      <c r="H266" s="34"/>
      <c r="I266" s="34"/>
      <c r="J266" s="34"/>
      <c r="K266" s="34"/>
      <c r="L266" s="34"/>
      <c r="M266" s="35"/>
      <c r="N266" s="34"/>
      <c r="O266" s="34"/>
      <c r="P266" s="34"/>
    </row>
    <row r="267" spans="1:16" ht="30" customHeight="1">
      <c r="A267" s="34"/>
      <c r="B267" s="34"/>
      <c r="C267" s="34"/>
      <c r="D267" s="34"/>
      <c r="E267" s="34"/>
      <c r="F267" s="34"/>
      <c r="G267" s="34"/>
      <c r="H267" s="34"/>
      <c r="I267" s="34"/>
      <c r="J267" s="34"/>
      <c r="K267" s="34"/>
      <c r="L267" s="34"/>
      <c r="M267" s="35"/>
      <c r="N267" s="34"/>
      <c r="O267" s="34"/>
      <c r="P267" s="34"/>
    </row>
    <row r="268" spans="1:16" ht="30" customHeight="1">
      <c r="A268" s="34"/>
      <c r="B268" s="34"/>
      <c r="C268" s="34"/>
      <c r="D268" s="34"/>
      <c r="E268" s="34"/>
      <c r="F268" s="34"/>
      <c r="G268" s="34"/>
      <c r="H268" s="34"/>
      <c r="I268" s="34"/>
      <c r="J268" s="34"/>
      <c r="K268" s="34"/>
      <c r="L268" s="34"/>
      <c r="M268" s="35"/>
      <c r="N268" s="34"/>
      <c r="O268" s="34"/>
      <c r="P268" s="34"/>
    </row>
    <row r="269" spans="1:16" ht="30" customHeight="1">
      <c r="A269" s="34"/>
      <c r="B269" s="34"/>
      <c r="C269" s="34"/>
      <c r="D269" s="34"/>
      <c r="E269" s="34"/>
      <c r="F269" s="34"/>
      <c r="G269" s="34"/>
      <c r="H269" s="34"/>
      <c r="I269" s="34"/>
      <c r="J269" s="34"/>
      <c r="K269" s="34"/>
      <c r="L269" s="34"/>
      <c r="M269" s="35"/>
      <c r="N269" s="34"/>
      <c r="O269" s="34"/>
      <c r="P269" s="34"/>
    </row>
    <row r="270" spans="1:16" ht="30" customHeight="1">
      <c r="A270" s="34"/>
      <c r="B270" s="34"/>
      <c r="C270" s="34"/>
      <c r="D270" s="34"/>
      <c r="E270" s="34"/>
      <c r="F270" s="34"/>
      <c r="G270" s="34"/>
      <c r="H270" s="34"/>
      <c r="I270" s="34"/>
      <c r="J270" s="34"/>
      <c r="K270" s="34"/>
      <c r="L270" s="34"/>
      <c r="M270" s="35"/>
      <c r="N270" s="34"/>
      <c r="O270" s="34"/>
      <c r="P270" s="34"/>
    </row>
    <row r="271" spans="1:16" ht="30" customHeight="1">
      <c r="A271" s="34"/>
      <c r="B271" s="34"/>
      <c r="C271" s="34"/>
      <c r="D271" s="34"/>
      <c r="E271" s="34"/>
      <c r="F271" s="34"/>
      <c r="G271" s="34"/>
      <c r="H271" s="34"/>
      <c r="I271" s="34"/>
      <c r="J271" s="34"/>
      <c r="K271" s="34"/>
      <c r="L271" s="34"/>
      <c r="M271" s="35"/>
      <c r="N271" s="34"/>
      <c r="O271" s="34"/>
      <c r="P271" s="34"/>
    </row>
    <row r="272" spans="1:16" ht="30" customHeight="1">
      <c r="A272" s="34"/>
      <c r="B272" s="34"/>
      <c r="C272" s="34"/>
      <c r="D272" s="34"/>
      <c r="E272" s="34"/>
      <c r="F272" s="34"/>
      <c r="G272" s="34"/>
      <c r="H272" s="34"/>
      <c r="I272" s="34"/>
      <c r="J272" s="34"/>
      <c r="K272" s="34"/>
      <c r="L272" s="34"/>
      <c r="M272" s="35"/>
      <c r="N272" s="34"/>
      <c r="O272" s="34"/>
      <c r="P272" s="34"/>
    </row>
    <row r="273" spans="1:16" ht="30" customHeight="1">
      <c r="A273" s="34"/>
      <c r="B273" s="34"/>
      <c r="C273" s="34"/>
      <c r="D273" s="34"/>
      <c r="E273" s="34"/>
      <c r="F273" s="34"/>
      <c r="G273" s="34"/>
      <c r="H273" s="34"/>
      <c r="I273" s="34"/>
      <c r="J273" s="34"/>
      <c r="K273" s="34"/>
      <c r="L273" s="34"/>
      <c r="M273" s="35"/>
      <c r="N273" s="34"/>
      <c r="O273" s="34"/>
      <c r="P273" s="34"/>
    </row>
    <row r="274" spans="1:16" ht="30" customHeight="1">
      <c r="A274" s="34"/>
      <c r="B274" s="34"/>
      <c r="C274" s="34"/>
      <c r="D274" s="34"/>
      <c r="E274" s="34"/>
      <c r="F274" s="34"/>
      <c r="G274" s="34"/>
      <c r="H274" s="34"/>
      <c r="I274" s="34"/>
      <c r="J274" s="34"/>
      <c r="K274" s="34"/>
      <c r="L274" s="34"/>
      <c r="M274" s="35"/>
      <c r="N274" s="34"/>
      <c r="O274" s="34"/>
      <c r="P274" s="34"/>
    </row>
    <row r="275" spans="1:16" ht="30" customHeight="1">
      <c r="A275" s="34"/>
      <c r="B275" s="34"/>
      <c r="C275" s="34"/>
      <c r="D275" s="34"/>
      <c r="E275" s="34"/>
      <c r="F275" s="34"/>
      <c r="G275" s="34"/>
      <c r="H275" s="34"/>
      <c r="I275" s="34"/>
      <c r="J275" s="34"/>
      <c r="K275" s="34"/>
      <c r="L275" s="34"/>
      <c r="M275" s="35"/>
      <c r="N275" s="34"/>
      <c r="O275" s="34"/>
      <c r="P275" s="34"/>
    </row>
    <row r="276" spans="1:16" ht="30" customHeight="1">
      <c r="A276" s="34"/>
      <c r="B276" s="34"/>
      <c r="C276" s="34"/>
      <c r="D276" s="34"/>
      <c r="E276" s="34"/>
      <c r="F276" s="34"/>
      <c r="G276" s="34"/>
      <c r="H276" s="34"/>
      <c r="I276" s="34"/>
      <c r="J276" s="34"/>
      <c r="K276" s="34"/>
      <c r="L276" s="34"/>
      <c r="M276" s="35"/>
      <c r="N276" s="34"/>
      <c r="O276" s="34"/>
      <c r="P276" s="34"/>
    </row>
    <row r="277" spans="1:16" ht="30" customHeight="1">
      <c r="A277" s="34"/>
      <c r="B277" s="34"/>
      <c r="C277" s="34"/>
      <c r="D277" s="34"/>
      <c r="E277" s="34"/>
      <c r="F277" s="34"/>
      <c r="G277" s="34"/>
      <c r="H277" s="34"/>
      <c r="I277" s="34"/>
      <c r="J277" s="34"/>
      <c r="K277" s="34"/>
      <c r="L277" s="34"/>
      <c r="M277" s="35"/>
      <c r="N277" s="34"/>
      <c r="O277" s="34"/>
      <c r="P277" s="34"/>
    </row>
    <row r="278" spans="1:16" ht="30" customHeight="1">
      <c r="A278" s="34"/>
      <c r="B278" s="34"/>
      <c r="C278" s="34"/>
      <c r="D278" s="34"/>
      <c r="E278" s="34"/>
      <c r="F278" s="34"/>
      <c r="G278" s="34"/>
      <c r="H278" s="34"/>
      <c r="I278" s="34"/>
      <c r="J278" s="34"/>
      <c r="K278" s="34"/>
      <c r="L278" s="34"/>
      <c r="M278" s="35"/>
      <c r="N278" s="34"/>
      <c r="O278" s="34"/>
      <c r="P278" s="34"/>
    </row>
    <row r="279" spans="1:16" ht="30" customHeight="1">
      <c r="A279" s="34"/>
      <c r="B279" s="34"/>
      <c r="C279" s="34"/>
      <c r="D279" s="34"/>
      <c r="E279" s="34"/>
      <c r="F279" s="34"/>
      <c r="G279" s="34"/>
      <c r="H279" s="34"/>
      <c r="I279" s="34"/>
      <c r="J279" s="34"/>
      <c r="K279" s="34"/>
      <c r="L279" s="34"/>
      <c r="M279" s="35"/>
      <c r="N279" s="34"/>
      <c r="O279" s="34"/>
      <c r="P279" s="34"/>
    </row>
    <row r="280" spans="1:16" ht="30" customHeight="1">
      <c r="A280" s="34"/>
      <c r="B280" s="34"/>
      <c r="C280" s="34"/>
      <c r="D280" s="34"/>
      <c r="E280" s="34"/>
      <c r="F280" s="34"/>
      <c r="G280" s="34"/>
      <c r="H280" s="34"/>
      <c r="I280" s="34"/>
      <c r="J280" s="34"/>
      <c r="K280" s="34"/>
      <c r="L280" s="34"/>
      <c r="M280" s="35"/>
      <c r="N280" s="34"/>
      <c r="O280" s="34"/>
      <c r="P280" s="34"/>
    </row>
    <row r="281" spans="1:16" ht="30" customHeight="1">
      <c r="A281" s="34"/>
      <c r="B281" s="34"/>
      <c r="C281" s="34"/>
      <c r="D281" s="34"/>
      <c r="E281" s="34"/>
      <c r="F281" s="34"/>
      <c r="G281" s="34"/>
      <c r="H281" s="34"/>
      <c r="I281" s="34"/>
      <c r="J281" s="34"/>
      <c r="K281" s="34"/>
      <c r="L281" s="34"/>
      <c r="M281" s="35"/>
      <c r="N281" s="34"/>
      <c r="O281" s="34"/>
      <c r="P281" s="34"/>
    </row>
    <row r="282" spans="1:16" ht="30" customHeight="1">
      <c r="A282" s="34"/>
      <c r="B282" s="34"/>
      <c r="C282" s="34"/>
      <c r="D282" s="34"/>
      <c r="E282" s="34"/>
      <c r="F282" s="34"/>
      <c r="G282" s="34"/>
      <c r="H282" s="34"/>
      <c r="I282" s="34"/>
      <c r="J282" s="34"/>
      <c r="K282" s="34"/>
      <c r="L282" s="34"/>
      <c r="M282" s="35"/>
      <c r="N282" s="34"/>
      <c r="O282" s="34"/>
      <c r="P282" s="34"/>
    </row>
    <row r="283" spans="1:16" ht="30" customHeight="1">
      <c r="A283" s="34"/>
      <c r="B283" s="34"/>
      <c r="C283" s="34"/>
      <c r="D283" s="34"/>
      <c r="E283" s="34"/>
      <c r="F283" s="34"/>
      <c r="G283" s="34"/>
      <c r="H283" s="34"/>
      <c r="I283" s="34"/>
      <c r="J283" s="34"/>
      <c r="K283" s="34"/>
      <c r="L283" s="34"/>
      <c r="M283" s="35"/>
      <c r="N283" s="34"/>
      <c r="O283" s="34"/>
      <c r="P283" s="34"/>
    </row>
    <row r="284" spans="1:16" ht="30" customHeight="1">
      <c r="A284" s="34"/>
      <c r="B284" s="34"/>
      <c r="C284" s="34"/>
      <c r="D284" s="34"/>
      <c r="E284" s="34"/>
      <c r="F284" s="34"/>
      <c r="G284" s="34"/>
      <c r="H284" s="34"/>
      <c r="I284" s="34"/>
      <c r="J284" s="34"/>
      <c r="K284" s="34"/>
      <c r="L284" s="34"/>
      <c r="M284" s="35"/>
      <c r="N284" s="34"/>
      <c r="O284" s="34"/>
      <c r="P284" s="34"/>
    </row>
    <row r="285" spans="1:16" ht="30" customHeight="1">
      <c r="A285" s="34"/>
      <c r="B285" s="34"/>
      <c r="C285" s="34"/>
      <c r="D285" s="34"/>
      <c r="E285" s="34"/>
      <c r="F285" s="34"/>
      <c r="G285" s="34"/>
      <c r="H285" s="34"/>
      <c r="I285" s="34"/>
      <c r="J285" s="34"/>
      <c r="K285" s="34"/>
      <c r="L285" s="34"/>
      <c r="M285" s="35"/>
      <c r="N285" s="34"/>
      <c r="O285" s="34"/>
      <c r="P285" s="34"/>
    </row>
    <row r="286" spans="1:16" ht="30" customHeight="1">
      <c r="A286" s="34"/>
      <c r="B286" s="34"/>
      <c r="C286" s="34"/>
      <c r="D286" s="34"/>
      <c r="E286" s="34"/>
      <c r="F286" s="34"/>
      <c r="G286" s="34"/>
      <c r="H286" s="34"/>
      <c r="I286" s="34"/>
      <c r="J286" s="34"/>
      <c r="K286" s="34"/>
      <c r="L286" s="34"/>
      <c r="M286" s="35"/>
      <c r="N286" s="34"/>
      <c r="O286" s="34"/>
      <c r="P286" s="34"/>
    </row>
    <row r="287" spans="1:16" ht="30" customHeight="1">
      <c r="A287" s="34"/>
      <c r="B287" s="34"/>
      <c r="C287" s="34"/>
      <c r="D287" s="34"/>
      <c r="E287" s="34"/>
      <c r="F287" s="34"/>
      <c r="G287" s="34"/>
      <c r="H287" s="34"/>
      <c r="I287" s="34"/>
      <c r="J287" s="34"/>
      <c r="K287" s="34"/>
      <c r="L287" s="34"/>
      <c r="M287" s="35"/>
      <c r="N287" s="34"/>
      <c r="O287" s="34"/>
      <c r="P287" s="34"/>
    </row>
    <row r="288" spans="1:16" ht="30" customHeight="1">
      <c r="A288" s="34"/>
      <c r="B288" s="34"/>
      <c r="C288" s="34"/>
      <c r="D288" s="34"/>
      <c r="E288" s="34"/>
      <c r="F288" s="34"/>
      <c r="G288" s="34"/>
      <c r="H288" s="34"/>
      <c r="I288" s="34"/>
      <c r="J288" s="34"/>
      <c r="K288" s="34"/>
      <c r="L288" s="34"/>
      <c r="M288" s="35"/>
      <c r="N288" s="34"/>
      <c r="O288" s="34"/>
      <c r="P288" s="34"/>
    </row>
    <row r="289" spans="1:16" ht="30" customHeight="1">
      <c r="A289" s="34"/>
      <c r="B289" s="34"/>
      <c r="C289" s="34"/>
      <c r="D289" s="34"/>
      <c r="E289" s="34"/>
      <c r="F289" s="34"/>
      <c r="G289" s="34"/>
      <c r="H289" s="34"/>
      <c r="I289" s="34"/>
      <c r="J289" s="34"/>
      <c r="K289" s="34"/>
      <c r="L289" s="34"/>
      <c r="M289" s="35"/>
      <c r="N289" s="34"/>
      <c r="O289" s="34"/>
      <c r="P289" s="34"/>
    </row>
    <row r="290" spans="1:16" ht="30" customHeight="1">
      <c r="A290" s="34"/>
      <c r="B290" s="34"/>
      <c r="C290" s="34"/>
      <c r="D290" s="34"/>
      <c r="E290" s="34"/>
      <c r="F290" s="34"/>
      <c r="G290" s="34"/>
      <c r="H290" s="34"/>
      <c r="I290" s="34"/>
      <c r="J290" s="34"/>
      <c r="K290" s="34"/>
      <c r="L290" s="34"/>
      <c r="M290" s="35"/>
      <c r="N290" s="34"/>
      <c r="O290" s="34"/>
      <c r="P290" s="34"/>
    </row>
    <row r="291" spans="1:16" ht="30" customHeight="1">
      <c r="A291" s="34"/>
      <c r="B291" s="34"/>
      <c r="C291" s="34"/>
      <c r="D291" s="34"/>
      <c r="E291" s="34"/>
      <c r="F291" s="34"/>
      <c r="G291" s="34"/>
      <c r="H291" s="34"/>
      <c r="I291" s="34"/>
      <c r="J291" s="34"/>
      <c r="K291" s="34"/>
      <c r="L291" s="34"/>
      <c r="M291" s="35"/>
      <c r="N291" s="34"/>
      <c r="O291" s="34"/>
      <c r="P291" s="34"/>
    </row>
    <row r="292" spans="1:16" ht="30" customHeight="1">
      <c r="A292" s="34"/>
      <c r="B292" s="34"/>
      <c r="C292" s="34"/>
      <c r="D292" s="34"/>
      <c r="E292" s="34"/>
      <c r="F292" s="34"/>
      <c r="G292" s="34"/>
      <c r="H292" s="34"/>
      <c r="I292" s="34"/>
      <c r="J292" s="34"/>
      <c r="K292" s="34"/>
      <c r="L292" s="34"/>
      <c r="M292" s="35"/>
      <c r="N292" s="34"/>
      <c r="O292" s="34"/>
      <c r="P292" s="34"/>
    </row>
    <row r="293" spans="1:16" ht="30" customHeight="1">
      <c r="A293" s="34"/>
      <c r="B293" s="34"/>
      <c r="C293" s="34"/>
      <c r="D293" s="34"/>
      <c r="E293" s="34"/>
      <c r="F293" s="34"/>
      <c r="G293" s="34"/>
      <c r="H293" s="34"/>
      <c r="I293" s="34"/>
      <c r="J293" s="34"/>
      <c r="K293" s="34"/>
      <c r="L293" s="34"/>
      <c r="M293" s="35"/>
      <c r="N293" s="34"/>
      <c r="O293" s="34"/>
      <c r="P293" s="34"/>
    </row>
    <row r="294" spans="1:16" ht="30" customHeight="1">
      <c r="A294" s="34"/>
      <c r="B294" s="34"/>
      <c r="C294" s="34"/>
      <c r="D294" s="34"/>
      <c r="E294" s="34"/>
      <c r="F294" s="34"/>
      <c r="G294" s="34"/>
      <c r="H294" s="34"/>
      <c r="I294" s="34"/>
      <c r="J294" s="34"/>
      <c r="K294" s="34"/>
      <c r="L294" s="34"/>
      <c r="M294" s="35"/>
      <c r="N294" s="34"/>
      <c r="O294" s="34"/>
      <c r="P294" s="34"/>
    </row>
    <row r="295" spans="1:16" ht="30" customHeight="1">
      <c r="A295" s="34"/>
      <c r="B295" s="34"/>
      <c r="C295" s="34"/>
      <c r="D295" s="34"/>
      <c r="E295" s="34"/>
      <c r="F295" s="34"/>
      <c r="G295" s="34"/>
      <c r="H295" s="34"/>
      <c r="I295" s="34"/>
      <c r="J295" s="34"/>
      <c r="K295" s="34"/>
      <c r="L295" s="34"/>
      <c r="M295" s="35"/>
      <c r="N295" s="34"/>
      <c r="O295" s="34"/>
      <c r="P295" s="34"/>
    </row>
    <row r="296" spans="1:16" ht="30" customHeight="1">
      <c r="A296" s="34"/>
      <c r="B296" s="34"/>
      <c r="C296" s="34"/>
      <c r="D296" s="34"/>
      <c r="E296" s="34"/>
      <c r="F296" s="34"/>
      <c r="G296" s="34"/>
      <c r="H296" s="34"/>
      <c r="I296" s="34"/>
      <c r="J296" s="34"/>
      <c r="K296" s="34"/>
      <c r="L296" s="34"/>
      <c r="M296" s="35"/>
      <c r="N296" s="34"/>
      <c r="O296" s="34"/>
      <c r="P296" s="34"/>
    </row>
    <row r="297" spans="1:16" ht="30" customHeight="1">
      <c r="A297" s="34"/>
      <c r="B297" s="34"/>
      <c r="C297" s="34"/>
      <c r="D297" s="34"/>
      <c r="E297" s="34"/>
      <c r="F297" s="34"/>
      <c r="G297" s="34"/>
      <c r="H297" s="34"/>
      <c r="I297" s="34"/>
      <c r="J297" s="34"/>
      <c r="K297" s="34"/>
      <c r="L297" s="34"/>
      <c r="M297" s="35"/>
      <c r="N297" s="34"/>
      <c r="O297" s="34"/>
      <c r="P297" s="34"/>
    </row>
    <row r="298" spans="1:16" ht="30" customHeight="1">
      <c r="A298" s="34"/>
      <c r="B298" s="34"/>
      <c r="C298" s="34"/>
      <c r="D298" s="34"/>
      <c r="E298" s="34"/>
      <c r="F298" s="34"/>
      <c r="G298" s="34"/>
      <c r="H298" s="34"/>
      <c r="I298" s="34"/>
      <c r="J298" s="34"/>
      <c r="K298" s="34"/>
      <c r="L298" s="34"/>
      <c r="M298" s="35"/>
      <c r="N298" s="34"/>
      <c r="O298" s="34"/>
      <c r="P298" s="34"/>
    </row>
    <row r="299" spans="1:16" ht="30" customHeight="1">
      <c r="A299" s="34"/>
      <c r="B299" s="34"/>
      <c r="C299" s="34"/>
      <c r="D299" s="34"/>
      <c r="E299" s="34"/>
      <c r="F299" s="34"/>
      <c r="G299" s="34"/>
      <c r="H299" s="34"/>
      <c r="I299" s="34"/>
      <c r="J299" s="34"/>
      <c r="K299" s="34"/>
      <c r="L299" s="34"/>
      <c r="M299" s="35"/>
      <c r="N299" s="34"/>
      <c r="O299" s="34"/>
      <c r="P299" s="34"/>
    </row>
    <row r="300" spans="1:16" ht="30" customHeight="1">
      <c r="A300" s="34"/>
      <c r="B300" s="34"/>
      <c r="C300" s="34"/>
      <c r="D300" s="34"/>
      <c r="E300" s="34"/>
      <c r="F300" s="34"/>
      <c r="G300" s="34"/>
      <c r="H300" s="34"/>
      <c r="I300" s="34"/>
      <c r="J300" s="34"/>
      <c r="K300" s="34"/>
      <c r="L300" s="34"/>
      <c r="M300" s="35"/>
      <c r="N300" s="34"/>
      <c r="O300" s="34"/>
      <c r="P300" s="34"/>
    </row>
  </sheetData>
  <autoFilter ref="A3:P300" xr:uid="{00000000-0009-0000-0000-000005000000}"/>
  <mergeCells count="2">
    <mergeCell ref="A1:P1"/>
    <mergeCell ref="A2:P2"/>
  </mergeCells>
  <conditionalFormatting sqref="I5:I300">
    <cfRule type="cellIs" dxfId="34" priority="2" operator="equal">
      <formula>"Pass"</formula>
    </cfRule>
    <cfRule type="cellIs" dxfId="33" priority="3" operator="equal">
      <formula>"Fail"</formula>
    </cfRule>
    <cfRule type="cellIs" dxfId="32" priority="4" operator="equal">
      <formula>"Blocked"</formula>
    </cfRule>
    <cfRule type="cellIs" dxfId="31" priority="5" operator="equal">
      <formula>"In Progress"</formula>
    </cfRule>
    <cfRule type="cellIs" dxfId="30" priority="6" operator="equal">
      <formula>"Not Executed"</formula>
    </cfRule>
    <cfRule type="cellIs" dxfId="29" priority="7" operator="equal">
      <formula>"Retest"</formula>
    </cfRule>
  </conditionalFormatting>
  <conditionalFormatting sqref="J5:J300">
    <cfRule type="cellIs" dxfId="28" priority="8" operator="equal">
      <formula>"Critical"</formula>
    </cfRule>
  </conditionalFormatting>
  <dataValidations count="5">
    <dataValidation type="list" allowBlank="1" errorTitle="Invalid Status" error="Please choose a status from the dropdown list." sqref="I5:I300" xr:uid="{00000000-0002-0000-0500-000000000000}">
      <formula1>List_Status</formula1>
      <formula2>0</formula2>
    </dataValidation>
    <dataValidation type="list" allowBlank="1" sqref="J5:J300" xr:uid="{00000000-0002-0000-0500-000001000000}">
      <formula1>List_Severity</formula1>
      <formula2>0</formula2>
    </dataValidation>
    <dataValidation type="list" allowBlank="1" sqref="K5:K300" xr:uid="{00000000-0002-0000-0500-000002000000}">
      <formula1>List_Priority</formula1>
      <formula2>0</formula2>
    </dataValidation>
    <dataValidation type="list" allowBlank="1" sqref="L5:L300" xr:uid="{00000000-0002-0000-0500-000003000000}">
      <formula1>List_Testers</formula1>
      <formula2>0</formula2>
    </dataValidation>
    <dataValidation type="list" allowBlank="1" sqref="N5:N300" xr:uid="{00000000-0002-0000-0500-000004000000}">
      <formula1>List_Environment</formula1>
      <formula2>0</formula2>
    </dataValidation>
  </dataValidations>
  <hyperlinks>
    <hyperlink ref="A2" r:id="rId1" location="'Main%20Dashboard'!A1" xr:uid="{00000000-0004-0000-0500-000000000000}"/>
    <hyperlink ref="F5" r:id="rId2" xr:uid="{9B9983B6-03EE-4B1B-8C94-B419719B1DAD}"/>
    <hyperlink ref="F6" r:id="rId3" xr:uid="{6C3B901F-34CF-4960-ACC6-BDA2C4B2856B}"/>
  </hyperlinks>
  <pageMargins left="0.75" right="0.75" top="1" bottom="1" header="0.511811023622047" footer="0.511811023622047"/>
  <pageSetup paperSize="9" orientation="portrait" horizontalDpi="300" verticalDpi="300"/>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75B6"/>
  </sheetPr>
  <dimension ref="A1:P253"/>
  <sheetViews>
    <sheetView showGridLines="0" zoomScaleNormal="100" workbookViewId="0">
      <pane ySplit="3" topLeftCell="G4" activePane="bottomLeft" state="frozen"/>
      <selection pane="bottomLeft" activeCell="L5" sqref="L5"/>
    </sheetView>
  </sheetViews>
  <sheetFormatPr defaultColWidth="8.7109375" defaultRowHeight="15"/>
  <cols>
    <col min="1" max="1" width="12" customWidth="1"/>
    <col min="2" max="2" width="20" customWidth="1"/>
    <col min="3" max="3" width="26" customWidth="1"/>
    <col min="4" max="4" width="46.42578125" customWidth="1"/>
    <col min="5" max="5" width="22" customWidth="1"/>
    <col min="6" max="6" width="20" customWidth="1"/>
    <col min="7" max="8" width="28" customWidth="1"/>
    <col min="9" max="9" width="14" customWidth="1"/>
    <col min="10" max="10" width="12" customWidth="1"/>
    <col min="11" max="12" width="14" customWidth="1"/>
    <col min="13" max="13" width="13" customWidth="1"/>
    <col min="14" max="14" width="12" customWidth="1"/>
    <col min="15" max="15" width="18" customWidth="1"/>
    <col min="16" max="16" width="26" customWidth="1"/>
  </cols>
  <sheetData>
    <row r="1" spans="1:16" ht="31.5" customHeight="1">
      <c r="A1" s="122" t="s">
        <v>820</v>
      </c>
      <c r="B1" s="122"/>
      <c r="C1" s="122"/>
      <c r="D1" s="122"/>
      <c r="E1" s="122"/>
      <c r="F1" s="122"/>
      <c r="G1" s="122"/>
      <c r="H1" s="122"/>
      <c r="I1" s="122"/>
      <c r="J1" s="122"/>
      <c r="K1" s="122"/>
      <c r="L1" s="122"/>
      <c r="M1" s="122"/>
      <c r="N1" s="122"/>
      <c r="O1" s="122"/>
      <c r="P1" s="122"/>
    </row>
    <row r="2" spans="1:16" ht="18" customHeight="1">
      <c r="A2" s="123" t="s">
        <v>32</v>
      </c>
      <c r="B2" s="123"/>
      <c r="C2" s="123"/>
      <c r="D2" s="123"/>
      <c r="E2" s="123"/>
      <c r="F2" s="123"/>
      <c r="G2" s="123"/>
      <c r="H2" s="123"/>
      <c r="I2" s="123"/>
      <c r="J2" s="123"/>
      <c r="K2" s="123"/>
      <c r="L2" s="123"/>
      <c r="M2" s="123"/>
      <c r="N2" s="123"/>
      <c r="O2" s="123"/>
      <c r="P2" s="123"/>
    </row>
    <row r="3" spans="1:16" ht="30" customHeight="1">
      <c r="A3" s="31" t="s">
        <v>50</v>
      </c>
      <c r="B3" s="31" t="s">
        <v>53</v>
      </c>
      <c r="C3" s="31" t="s">
        <v>56</v>
      </c>
      <c r="D3" s="31" t="s">
        <v>59</v>
      </c>
      <c r="E3" s="31" t="s">
        <v>62</v>
      </c>
      <c r="F3" s="31" t="s">
        <v>65</v>
      </c>
      <c r="G3" s="31" t="s">
        <v>68</v>
      </c>
      <c r="H3" s="31" t="s">
        <v>71</v>
      </c>
      <c r="I3" s="31" t="s">
        <v>74</v>
      </c>
      <c r="J3" s="31" t="s">
        <v>77</v>
      </c>
      <c r="K3" s="31" t="s">
        <v>80</v>
      </c>
      <c r="L3" s="31" t="s">
        <v>83</v>
      </c>
      <c r="M3" s="31" t="s">
        <v>86</v>
      </c>
      <c r="N3" s="31" t="s">
        <v>89</v>
      </c>
      <c r="O3" s="31" t="s">
        <v>92</v>
      </c>
      <c r="P3" s="31" t="s">
        <v>95</v>
      </c>
    </row>
    <row r="4" spans="1:16" ht="60" customHeight="1">
      <c r="A4" s="32" t="s">
        <v>121</v>
      </c>
      <c r="B4" s="33" t="s">
        <v>122</v>
      </c>
      <c r="C4" s="33" t="s">
        <v>123</v>
      </c>
      <c r="D4" s="33" t="s">
        <v>151</v>
      </c>
      <c r="E4" s="33" t="s">
        <v>125</v>
      </c>
      <c r="F4" s="33" t="s">
        <v>126</v>
      </c>
      <c r="G4" s="33" t="s">
        <v>152</v>
      </c>
      <c r="H4" s="33" t="s">
        <v>128</v>
      </c>
      <c r="I4" s="33" t="s">
        <v>102</v>
      </c>
      <c r="J4" s="33" t="s">
        <v>115</v>
      </c>
      <c r="K4" s="33" t="s">
        <v>129</v>
      </c>
      <c r="L4" s="33" t="s">
        <v>130</v>
      </c>
      <c r="M4" s="33" t="s">
        <v>131</v>
      </c>
      <c r="N4" s="33" t="s">
        <v>132</v>
      </c>
      <c r="O4" s="33" t="s">
        <v>153</v>
      </c>
      <c r="P4" s="33" t="s">
        <v>154</v>
      </c>
    </row>
    <row r="5" spans="1:16" ht="30" customHeight="1">
      <c r="A5" s="58" t="s">
        <v>821</v>
      </c>
      <c r="B5" s="59" t="s">
        <v>822</v>
      </c>
      <c r="C5" s="59" t="s">
        <v>823</v>
      </c>
      <c r="D5" s="59" t="s">
        <v>824</v>
      </c>
      <c r="E5" s="59" t="s">
        <v>825</v>
      </c>
      <c r="F5" s="59" t="s">
        <v>826</v>
      </c>
      <c r="G5" s="59" t="s">
        <v>827</v>
      </c>
      <c r="H5" s="60" t="s">
        <v>828</v>
      </c>
      <c r="I5" s="61" t="s">
        <v>102</v>
      </c>
      <c r="J5" s="62" t="s">
        <v>115</v>
      </c>
      <c r="K5" s="62" t="s">
        <v>201</v>
      </c>
      <c r="L5" s="59" t="s">
        <v>818</v>
      </c>
      <c r="M5" s="63">
        <v>46249</v>
      </c>
      <c r="N5" s="59" t="s">
        <v>146</v>
      </c>
      <c r="O5" s="59"/>
      <c r="P5" s="59"/>
    </row>
    <row r="6" spans="1:16" ht="132" customHeight="1">
      <c r="A6" s="58" t="s">
        <v>829</v>
      </c>
      <c r="B6" s="64" t="s">
        <v>822</v>
      </c>
      <c r="C6" s="64" t="s">
        <v>830</v>
      </c>
      <c r="D6" s="64" t="s">
        <v>831</v>
      </c>
      <c r="E6" s="64" t="s">
        <v>825</v>
      </c>
      <c r="F6" s="64" t="s">
        <v>826</v>
      </c>
      <c r="G6" s="64" t="s">
        <v>832</v>
      </c>
      <c r="H6" s="60" t="s">
        <v>833</v>
      </c>
      <c r="I6" s="65" t="s">
        <v>104</v>
      </c>
      <c r="J6" s="62" t="s">
        <v>115</v>
      </c>
      <c r="K6" s="62" t="s">
        <v>201</v>
      </c>
      <c r="L6" s="59" t="s">
        <v>818</v>
      </c>
      <c r="M6" s="66">
        <v>46249</v>
      </c>
      <c r="N6" s="64" t="s">
        <v>146</v>
      </c>
      <c r="O6" s="64" t="s">
        <v>834</v>
      </c>
      <c r="P6" s="64"/>
    </row>
    <row r="7" spans="1:16" ht="30" customHeight="1">
      <c r="A7" s="58" t="s">
        <v>835</v>
      </c>
      <c r="B7" s="59" t="s">
        <v>836</v>
      </c>
      <c r="C7" s="59" t="s">
        <v>837</v>
      </c>
      <c r="D7" s="59" t="s">
        <v>838</v>
      </c>
      <c r="E7" s="59" t="s">
        <v>839</v>
      </c>
      <c r="F7" s="59" t="s">
        <v>840</v>
      </c>
      <c r="G7" s="59" t="s">
        <v>841</v>
      </c>
      <c r="H7" s="60" t="s">
        <v>828</v>
      </c>
      <c r="I7" s="61" t="s">
        <v>102</v>
      </c>
      <c r="J7" s="67" t="s">
        <v>113</v>
      </c>
      <c r="K7" s="67" t="s">
        <v>180</v>
      </c>
      <c r="L7" s="59" t="s">
        <v>818</v>
      </c>
      <c r="M7" s="63">
        <v>46249</v>
      </c>
      <c r="N7" s="59" t="s">
        <v>146</v>
      </c>
      <c r="O7" s="59"/>
      <c r="P7" s="59"/>
    </row>
    <row r="8" spans="1:16" ht="30" customHeight="1">
      <c r="A8" s="58" t="s">
        <v>842</v>
      </c>
      <c r="B8" s="64" t="s">
        <v>836</v>
      </c>
      <c r="C8" s="64" t="s">
        <v>843</v>
      </c>
      <c r="D8" s="64" t="s">
        <v>844</v>
      </c>
      <c r="E8" s="64" t="s">
        <v>839</v>
      </c>
      <c r="F8" s="64" t="s">
        <v>840</v>
      </c>
      <c r="G8" s="64" t="s">
        <v>845</v>
      </c>
      <c r="H8" s="60" t="s">
        <v>846</v>
      </c>
      <c r="I8" s="61" t="s">
        <v>102</v>
      </c>
      <c r="J8" s="62" t="s">
        <v>115</v>
      </c>
      <c r="K8" s="62" t="s">
        <v>201</v>
      </c>
      <c r="L8" s="59" t="s">
        <v>818</v>
      </c>
      <c r="M8" s="66">
        <v>46249</v>
      </c>
      <c r="N8" s="64" t="s">
        <v>146</v>
      </c>
      <c r="O8" s="64"/>
      <c r="P8" s="64"/>
    </row>
    <row r="9" spans="1:16" ht="107.25" customHeight="1">
      <c r="A9" s="58" t="s">
        <v>847</v>
      </c>
      <c r="B9" s="59" t="s">
        <v>836</v>
      </c>
      <c r="C9" s="59" t="s">
        <v>848</v>
      </c>
      <c r="D9" s="59" t="s">
        <v>849</v>
      </c>
      <c r="E9" s="59" t="s">
        <v>839</v>
      </c>
      <c r="F9" s="59" t="s">
        <v>840</v>
      </c>
      <c r="G9" s="59" t="s">
        <v>850</v>
      </c>
      <c r="H9" s="60" t="s">
        <v>851</v>
      </c>
      <c r="I9" s="65" t="s">
        <v>104</v>
      </c>
      <c r="J9" s="67" t="s">
        <v>113</v>
      </c>
      <c r="K9" s="67" t="s">
        <v>180</v>
      </c>
      <c r="L9" s="59" t="s">
        <v>818</v>
      </c>
      <c r="M9" s="63">
        <v>46249</v>
      </c>
      <c r="N9" s="59" t="s">
        <v>146</v>
      </c>
      <c r="O9" s="59" t="s">
        <v>852</v>
      </c>
      <c r="P9" s="59"/>
    </row>
    <row r="10" spans="1:16" ht="30" customHeight="1">
      <c r="A10" s="58" t="s">
        <v>853</v>
      </c>
      <c r="B10" s="64" t="s">
        <v>836</v>
      </c>
      <c r="C10" s="64" t="s">
        <v>854</v>
      </c>
      <c r="D10" s="64" t="s">
        <v>855</v>
      </c>
      <c r="E10" s="64" t="s">
        <v>839</v>
      </c>
      <c r="F10" s="64" t="s">
        <v>840</v>
      </c>
      <c r="G10" s="64" t="s">
        <v>856</v>
      </c>
      <c r="H10" s="60" t="s">
        <v>857</v>
      </c>
      <c r="I10" s="65" t="s">
        <v>104</v>
      </c>
      <c r="J10" s="67" t="s">
        <v>113</v>
      </c>
      <c r="K10" s="67" t="s">
        <v>180</v>
      </c>
      <c r="L10" s="59" t="s">
        <v>818</v>
      </c>
      <c r="M10" s="66">
        <v>46249</v>
      </c>
      <c r="N10" s="64" t="s">
        <v>146</v>
      </c>
      <c r="O10" s="64" t="s">
        <v>858</v>
      </c>
      <c r="P10" s="64"/>
    </row>
    <row r="11" spans="1:16" ht="30" customHeight="1">
      <c r="A11" s="58" t="s">
        <v>859</v>
      </c>
      <c r="B11" s="59" t="s">
        <v>836</v>
      </c>
      <c r="C11" s="59" t="s">
        <v>860</v>
      </c>
      <c r="D11" s="59" t="s">
        <v>861</v>
      </c>
      <c r="E11" s="59" t="s">
        <v>839</v>
      </c>
      <c r="F11" s="59" t="s">
        <v>840</v>
      </c>
      <c r="G11" s="59" t="s">
        <v>862</v>
      </c>
      <c r="H11" s="60" t="s">
        <v>857</v>
      </c>
      <c r="I11" s="65" t="s">
        <v>104</v>
      </c>
      <c r="J11" s="67" t="s">
        <v>113</v>
      </c>
      <c r="K11" s="67" t="s">
        <v>180</v>
      </c>
      <c r="L11" s="59" t="s">
        <v>818</v>
      </c>
      <c r="M11" s="63">
        <v>46249</v>
      </c>
      <c r="N11" s="59" t="s">
        <v>146</v>
      </c>
      <c r="O11" s="59" t="s">
        <v>858</v>
      </c>
      <c r="P11" s="59"/>
    </row>
    <row r="12" spans="1:16" ht="30" customHeight="1">
      <c r="A12" s="58" t="s">
        <v>863</v>
      </c>
      <c r="B12" s="64" t="s">
        <v>836</v>
      </c>
      <c r="C12" s="64" t="s">
        <v>864</v>
      </c>
      <c r="D12" s="64" t="s">
        <v>865</v>
      </c>
      <c r="E12" s="64" t="s">
        <v>839</v>
      </c>
      <c r="F12" s="64" t="s">
        <v>840</v>
      </c>
      <c r="G12" s="64" t="s">
        <v>866</v>
      </c>
      <c r="H12" s="60" t="s">
        <v>867</v>
      </c>
      <c r="I12" s="65" t="s">
        <v>104</v>
      </c>
      <c r="J12" s="67" t="s">
        <v>113</v>
      </c>
      <c r="K12" s="67" t="s">
        <v>180</v>
      </c>
      <c r="L12" s="59" t="s">
        <v>818</v>
      </c>
      <c r="M12" s="66">
        <v>46249</v>
      </c>
      <c r="N12" s="64" t="s">
        <v>146</v>
      </c>
      <c r="O12" s="64" t="s">
        <v>868</v>
      </c>
      <c r="P12" s="64"/>
    </row>
    <row r="13" spans="1:16" ht="30" customHeight="1">
      <c r="A13" s="58" t="s">
        <v>869</v>
      </c>
      <c r="B13" s="59" t="s">
        <v>836</v>
      </c>
      <c r="C13" s="59" t="s">
        <v>870</v>
      </c>
      <c r="D13" s="59" t="s">
        <v>871</v>
      </c>
      <c r="E13" s="59" t="s">
        <v>839</v>
      </c>
      <c r="F13" s="59" t="s">
        <v>840</v>
      </c>
      <c r="G13" s="59" t="s">
        <v>872</v>
      </c>
      <c r="H13" s="60" t="s">
        <v>873</v>
      </c>
      <c r="I13" s="65" t="s">
        <v>104</v>
      </c>
      <c r="J13" s="67" t="s">
        <v>113</v>
      </c>
      <c r="K13" s="67" t="s">
        <v>180</v>
      </c>
      <c r="L13" s="59" t="s">
        <v>818</v>
      </c>
      <c r="M13" s="63">
        <v>46249</v>
      </c>
      <c r="N13" s="59" t="s">
        <v>146</v>
      </c>
      <c r="O13" s="59" t="s">
        <v>874</v>
      </c>
      <c r="P13" s="59"/>
    </row>
    <row r="14" spans="1:16" ht="30" customHeight="1">
      <c r="A14" s="58" t="s">
        <v>875</v>
      </c>
      <c r="B14" s="64" t="s">
        <v>836</v>
      </c>
      <c r="C14" s="64" t="s">
        <v>876</v>
      </c>
      <c r="D14" s="64" t="s">
        <v>877</v>
      </c>
      <c r="E14" s="64" t="s">
        <v>839</v>
      </c>
      <c r="F14" s="64" t="s">
        <v>840</v>
      </c>
      <c r="G14" s="64" t="s">
        <v>878</v>
      </c>
      <c r="H14" s="60" t="s">
        <v>828</v>
      </c>
      <c r="I14" s="61" t="s">
        <v>102</v>
      </c>
      <c r="J14" s="62" t="s">
        <v>115</v>
      </c>
      <c r="K14" s="62" t="s">
        <v>201</v>
      </c>
      <c r="L14" s="59" t="s">
        <v>818</v>
      </c>
      <c r="M14" s="66">
        <v>46249</v>
      </c>
      <c r="N14" s="64" t="s">
        <v>146</v>
      </c>
      <c r="O14" s="64"/>
      <c r="P14" s="64"/>
    </row>
    <row r="15" spans="1:16" ht="30" customHeight="1">
      <c r="A15" s="58" t="s">
        <v>879</v>
      </c>
      <c r="B15" s="59" t="s">
        <v>880</v>
      </c>
      <c r="C15" s="59" t="s">
        <v>881</v>
      </c>
      <c r="D15" s="59" t="s">
        <v>882</v>
      </c>
      <c r="E15" s="59" t="s">
        <v>883</v>
      </c>
      <c r="F15" s="59" t="s">
        <v>884</v>
      </c>
      <c r="G15" s="59" t="s">
        <v>885</v>
      </c>
      <c r="H15" s="60" t="s">
        <v>828</v>
      </c>
      <c r="I15" s="61" t="s">
        <v>102</v>
      </c>
      <c r="J15" s="67" t="s">
        <v>113</v>
      </c>
      <c r="K15" s="67" t="s">
        <v>180</v>
      </c>
      <c r="L15" s="59" t="s">
        <v>818</v>
      </c>
      <c r="M15" s="63">
        <v>46249</v>
      </c>
      <c r="N15" s="59" t="s">
        <v>146</v>
      </c>
      <c r="O15" s="59"/>
      <c r="P15" s="59"/>
    </row>
    <row r="16" spans="1:16" ht="30" customHeight="1">
      <c r="A16" s="58" t="s">
        <v>886</v>
      </c>
      <c r="B16" s="64" t="s">
        <v>880</v>
      </c>
      <c r="C16" s="64" t="s">
        <v>887</v>
      </c>
      <c r="D16" s="64" t="s">
        <v>888</v>
      </c>
      <c r="E16" s="64" t="s">
        <v>883</v>
      </c>
      <c r="F16" s="64" t="s">
        <v>884</v>
      </c>
      <c r="G16" s="64" t="s">
        <v>889</v>
      </c>
      <c r="H16" s="60" t="s">
        <v>828</v>
      </c>
      <c r="I16" s="61" t="s">
        <v>102</v>
      </c>
      <c r="J16" s="62" t="s">
        <v>115</v>
      </c>
      <c r="K16" s="62" t="s">
        <v>201</v>
      </c>
      <c r="L16" s="59" t="s">
        <v>818</v>
      </c>
      <c r="M16" s="66">
        <v>46249</v>
      </c>
      <c r="N16" s="64" t="s">
        <v>146</v>
      </c>
      <c r="O16" s="64"/>
      <c r="P16" s="64"/>
    </row>
    <row r="17" spans="1:16" ht="30" customHeight="1">
      <c r="A17" s="58" t="s">
        <v>890</v>
      </c>
      <c r="B17" s="59" t="s">
        <v>880</v>
      </c>
      <c r="C17" s="59" t="s">
        <v>891</v>
      </c>
      <c r="D17" s="59" t="s">
        <v>892</v>
      </c>
      <c r="E17" s="59" t="s">
        <v>883</v>
      </c>
      <c r="F17" s="59" t="s">
        <v>884</v>
      </c>
      <c r="G17" s="59" t="s">
        <v>893</v>
      </c>
      <c r="H17" s="60" t="s">
        <v>828</v>
      </c>
      <c r="I17" s="61" t="s">
        <v>102</v>
      </c>
      <c r="J17" s="62" t="s">
        <v>115</v>
      </c>
      <c r="K17" s="62" t="s">
        <v>201</v>
      </c>
      <c r="L17" s="59" t="s">
        <v>818</v>
      </c>
      <c r="M17" s="63">
        <v>46249</v>
      </c>
      <c r="N17" s="59" t="s">
        <v>146</v>
      </c>
      <c r="O17" s="59"/>
      <c r="P17" s="59"/>
    </row>
    <row r="18" spans="1:16" ht="30" customHeight="1">
      <c r="A18" s="58" t="s">
        <v>894</v>
      </c>
      <c r="B18" s="64" t="s">
        <v>880</v>
      </c>
      <c r="C18" s="64" t="s">
        <v>895</v>
      </c>
      <c r="D18" s="64" t="s">
        <v>896</v>
      </c>
      <c r="E18" s="64" t="s">
        <v>883</v>
      </c>
      <c r="F18" s="64" t="s">
        <v>884</v>
      </c>
      <c r="G18" s="64" t="s">
        <v>897</v>
      </c>
      <c r="H18" s="60" t="s">
        <v>828</v>
      </c>
      <c r="I18" s="61" t="s">
        <v>102</v>
      </c>
      <c r="J18" s="67" t="s">
        <v>113</v>
      </c>
      <c r="K18" s="67" t="s">
        <v>180</v>
      </c>
      <c r="L18" s="59" t="s">
        <v>818</v>
      </c>
      <c r="M18" s="66">
        <v>46249</v>
      </c>
      <c r="N18" s="64" t="s">
        <v>146</v>
      </c>
      <c r="O18" s="64"/>
      <c r="P18" s="64"/>
    </row>
    <row r="19" spans="1:16" ht="30" customHeight="1">
      <c r="A19" s="58" t="s">
        <v>898</v>
      </c>
      <c r="B19" s="59" t="s">
        <v>880</v>
      </c>
      <c r="C19" s="59" t="s">
        <v>899</v>
      </c>
      <c r="D19" s="59" t="s">
        <v>900</v>
      </c>
      <c r="E19" s="59" t="s">
        <v>883</v>
      </c>
      <c r="F19" s="59" t="s">
        <v>884</v>
      </c>
      <c r="G19" s="59" t="s">
        <v>901</v>
      </c>
      <c r="H19" s="60" t="s">
        <v>828</v>
      </c>
      <c r="I19" s="61" t="s">
        <v>102</v>
      </c>
      <c r="J19" s="62" t="s">
        <v>115</v>
      </c>
      <c r="K19" s="62" t="s">
        <v>201</v>
      </c>
      <c r="L19" s="59" t="s">
        <v>818</v>
      </c>
      <c r="M19" s="63">
        <v>46249</v>
      </c>
      <c r="N19" s="59" t="s">
        <v>146</v>
      </c>
      <c r="O19" s="59"/>
      <c r="P19" s="59"/>
    </row>
    <row r="20" spans="1:16" ht="30" customHeight="1">
      <c r="A20" s="58" t="s">
        <v>902</v>
      </c>
      <c r="B20" s="64" t="s">
        <v>880</v>
      </c>
      <c r="C20" s="64" t="s">
        <v>903</v>
      </c>
      <c r="D20" s="64" t="s">
        <v>904</v>
      </c>
      <c r="E20" s="64" t="s">
        <v>883</v>
      </c>
      <c r="F20" s="64" t="s">
        <v>884</v>
      </c>
      <c r="G20" s="64" t="s">
        <v>905</v>
      </c>
      <c r="H20" s="60" t="s">
        <v>828</v>
      </c>
      <c r="I20" s="61" t="s">
        <v>102</v>
      </c>
      <c r="J20" s="62" t="s">
        <v>115</v>
      </c>
      <c r="K20" s="62" t="s">
        <v>201</v>
      </c>
      <c r="L20" s="59" t="s">
        <v>818</v>
      </c>
      <c r="M20" s="66">
        <v>46249</v>
      </c>
      <c r="N20" s="64" t="s">
        <v>146</v>
      </c>
      <c r="O20" s="64"/>
      <c r="P20" s="64"/>
    </row>
    <row r="21" spans="1:16" ht="30" customHeight="1">
      <c r="A21" s="58" t="s">
        <v>906</v>
      </c>
      <c r="B21" s="59" t="s">
        <v>880</v>
      </c>
      <c r="C21" s="59" t="s">
        <v>907</v>
      </c>
      <c r="D21" s="59" t="s">
        <v>908</v>
      </c>
      <c r="E21" s="59" t="s">
        <v>883</v>
      </c>
      <c r="F21" s="59" t="s">
        <v>884</v>
      </c>
      <c r="G21" s="59" t="s">
        <v>909</v>
      </c>
      <c r="H21" s="60" t="s">
        <v>828</v>
      </c>
      <c r="I21" s="61" t="s">
        <v>102</v>
      </c>
      <c r="J21" s="62" t="s">
        <v>115</v>
      </c>
      <c r="K21" s="62" t="s">
        <v>201</v>
      </c>
      <c r="L21" s="59" t="s">
        <v>818</v>
      </c>
      <c r="M21" s="63">
        <v>46249</v>
      </c>
      <c r="N21" s="59" t="s">
        <v>146</v>
      </c>
      <c r="O21" s="59"/>
      <c r="P21" s="59"/>
    </row>
    <row r="22" spans="1:16" ht="30" customHeight="1">
      <c r="A22" s="58" t="s">
        <v>910</v>
      </c>
      <c r="B22" s="64" t="s">
        <v>880</v>
      </c>
      <c r="C22" s="64" t="s">
        <v>911</v>
      </c>
      <c r="D22" s="64" t="s">
        <v>912</v>
      </c>
      <c r="E22" s="64" t="s">
        <v>883</v>
      </c>
      <c r="F22" s="64" t="s">
        <v>884</v>
      </c>
      <c r="G22" s="64" t="s">
        <v>913</v>
      </c>
      <c r="H22" s="60" t="s">
        <v>857</v>
      </c>
      <c r="I22" s="65" t="s">
        <v>104</v>
      </c>
      <c r="J22" s="67" t="s">
        <v>113</v>
      </c>
      <c r="K22" s="67" t="s">
        <v>180</v>
      </c>
      <c r="L22" s="59" t="s">
        <v>818</v>
      </c>
      <c r="M22" s="66">
        <v>46249</v>
      </c>
      <c r="N22" s="64" t="s">
        <v>146</v>
      </c>
      <c r="O22" s="64" t="s">
        <v>858</v>
      </c>
      <c r="P22" s="64"/>
    </row>
    <row r="23" spans="1:16" ht="30" customHeight="1">
      <c r="A23" s="58" t="s">
        <v>914</v>
      </c>
      <c r="B23" s="59" t="s">
        <v>880</v>
      </c>
      <c r="C23" s="59" t="s">
        <v>915</v>
      </c>
      <c r="D23" s="59" t="s">
        <v>916</v>
      </c>
      <c r="E23" s="59" t="s">
        <v>883</v>
      </c>
      <c r="F23" s="59" t="s">
        <v>884</v>
      </c>
      <c r="G23" s="59" t="s">
        <v>917</v>
      </c>
      <c r="H23" s="60" t="s">
        <v>828</v>
      </c>
      <c r="I23" s="61" t="s">
        <v>102</v>
      </c>
      <c r="J23" s="62" t="s">
        <v>115</v>
      </c>
      <c r="K23" s="62" t="s">
        <v>201</v>
      </c>
      <c r="L23" s="59" t="s">
        <v>818</v>
      </c>
      <c r="M23" s="63">
        <v>46249</v>
      </c>
      <c r="N23" s="59" t="s">
        <v>146</v>
      </c>
      <c r="O23" s="59"/>
      <c r="P23" s="59"/>
    </row>
    <row r="24" spans="1:16" ht="30" customHeight="1">
      <c r="A24" s="58" t="s">
        <v>918</v>
      </c>
      <c r="B24" s="64" t="s">
        <v>880</v>
      </c>
      <c r="C24" s="64" t="s">
        <v>919</v>
      </c>
      <c r="D24" s="64" t="s">
        <v>920</v>
      </c>
      <c r="E24" s="64" t="s">
        <v>883</v>
      </c>
      <c r="F24" s="64" t="s">
        <v>884</v>
      </c>
      <c r="G24" s="64" t="s">
        <v>921</v>
      </c>
      <c r="H24" s="60" t="s">
        <v>828</v>
      </c>
      <c r="I24" s="61" t="s">
        <v>102</v>
      </c>
      <c r="J24" s="62" t="s">
        <v>115</v>
      </c>
      <c r="K24" s="62" t="s">
        <v>201</v>
      </c>
      <c r="L24" s="59" t="s">
        <v>818</v>
      </c>
      <c r="M24" s="66">
        <v>46249</v>
      </c>
      <c r="N24" s="64" t="s">
        <v>146</v>
      </c>
      <c r="O24" s="64"/>
      <c r="P24" s="64"/>
    </row>
    <row r="25" spans="1:16" ht="30" customHeight="1">
      <c r="A25" s="58" t="s">
        <v>922</v>
      </c>
      <c r="B25" s="59" t="s">
        <v>923</v>
      </c>
      <c r="C25" s="59" t="s">
        <v>924</v>
      </c>
      <c r="D25" s="59" t="s">
        <v>925</v>
      </c>
      <c r="E25" s="59" t="s">
        <v>926</v>
      </c>
      <c r="F25" s="59" t="s">
        <v>927</v>
      </c>
      <c r="G25" s="59" t="s">
        <v>928</v>
      </c>
      <c r="H25" s="60" t="s">
        <v>828</v>
      </c>
      <c r="I25" s="61" t="s">
        <v>102</v>
      </c>
      <c r="J25" s="62" t="s">
        <v>115</v>
      </c>
      <c r="K25" s="62" t="s">
        <v>201</v>
      </c>
      <c r="L25" s="59" t="s">
        <v>818</v>
      </c>
      <c r="M25" s="63">
        <v>46249</v>
      </c>
      <c r="N25" s="59" t="s">
        <v>146</v>
      </c>
      <c r="O25" s="59"/>
      <c r="P25" s="59"/>
    </row>
    <row r="26" spans="1:16" ht="30" customHeight="1">
      <c r="A26" s="58" t="s">
        <v>929</v>
      </c>
      <c r="B26" s="64" t="s">
        <v>923</v>
      </c>
      <c r="C26" s="64" t="s">
        <v>930</v>
      </c>
      <c r="D26" s="64" t="s">
        <v>931</v>
      </c>
      <c r="E26" s="64" t="s">
        <v>926</v>
      </c>
      <c r="F26" s="64" t="s">
        <v>927</v>
      </c>
      <c r="G26" s="64" t="s">
        <v>932</v>
      </c>
      <c r="H26" s="60" t="s">
        <v>857</v>
      </c>
      <c r="I26" s="65" t="s">
        <v>104</v>
      </c>
      <c r="J26" s="67" t="s">
        <v>113</v>
      </c>
      <c r="K26" s="67" t="s">
        <v>180</v>
      </c>
      <c r="L26" s="59" t="s">
        <v>818</v>
      </c>
      <c r="M26" s="66">
        <v>46249</v>
      </c>
      <c r="N26" s="64" t="s">
        <v>146</v>
      </c>
      <c r="O26" s="64" t="s">
        <v>858</v>
      </c>
      <c r="P26" s="64"/>
    </row>
    <row r="27" spans="1:16" ht="30" customHeight="1">
      <c r="A27" s="58" t="s">
        <v>933</v>
      </c>
      <c r="B27" s="59" t="s">
        <v>923</v>
      </c>
      <c r="C27" s="59" t="s">
        <v>934</v>
      </c>
      <c r="D27" s="59" t="s">
        <v>935</v>
      </c>
      <c r="E27" s="59" t="s">
        <v>926</v>
      </c>
      <c r="F27" s="59" t="s">
        <v>927</v>
      </c>
      <c r="G27" s="59" t="s">
        <v>936</v>
      </c>
      <c r="H27" s="60" t="s">
        <v>828</v>
      </c>
      <c r="I27" s="61" t="s">
        <v>102</v>
      </c>
      <c r="J27" s="62" t="s">
        <v>115</v>
      </c>
      <c r="K27" s="62" t="s">
        <v>201</v>
      </c>
      <c r="L27" s="59" t="s">
        <v>818</v>
      </c>
      <c r="M27" s="63">
        <v>46249</v>
      </c>
      <c r="N27" s="59" t="s">
        <v>146</v>
      </c>
      <c r="O27" s="59"/>
      <c r="P27" s="59"/>
    </row>
    <row r="28" spans="1:16" ht="30" customHeight="1">
      <c r="A28" s="58" t="s">
        <v>937</v>
      </c>
      <c r="B28" s="64" t="s">
        <v>923</v>
      </c>
      <c r="C28" s="64" t="s">
        <v>938</v>
      </c>
      <c r="D28" s="64" t="s">
        <v>939</v>
      </c>
      <c r="E28" s="64" t="s">
        <v>926</v>
      </c>
      <c r="F28" s="64" t="s">
        <v>927</v>
      </c>
      <c r="G28" s="64" t="s">
        <v>940</v>
      </c>
      <c r="H28" s="60" t="s">
        <v>941</v>
      </c>
      <c r="I28" s="61" t="s">
        <v>102</v>
      </c>
      <c r="J28" s="67" t="s">
        <v>113</v>
      </c>
      <c r="K28" s="67" t="s">
        <v>180</v>
      </c>
      <c r="L28" s="59" t="s">
        <v>818</v>
      </c>
      <c r="M28" s="66">
        <v>46249</v>
      </c>
      <c r="N28" s="64" t="s">
        <v>146</v>
      </c>
      <c r="O28" s="64" t="s">
        <v>942</v>
      </c>
      <c r="P28" s="64"/>
    </row>
    <row r="29" spans="1:16" ht="30" customHeight="1">
      <c r="A29" s="58" t="s">
        <v>943</v>
      </c>
      <c r="B29" s="59" t="s">
        <v>944</v>
      </c>
      <c r="C29" s="59" t="s">
        <v>945</v>
      </c>
      <c r="D29" s="59" t="s">
        <v>946</v>
      </c>
      <c r="E29" s="59" t="s">
        <v>947</v>
      </c>
      <c r="F29" s="59" t="s">
        <v>948</v>
      </c>
      <c r="G29" s="59" t="s">
        <v>949</v>
      </c>
      <c r="H29" s="60" t="s">
        <v>950</v>
      </c>
      <c r="I29" s="61" t="s">
        <v>102</v>
      </c>
      <c r="J29" s="65" t="s">
        <v>111</v>
      </c>
      <c r="K29" s="65" t="s">
        <v>163</v>
      </c>
      <c r="L29" s="59" t="s">
        <v>818</v>
      </c>
      <c r="M29" s="63">
        <v>46249</v>
      </c>
      <c r="N29" s="59" t="s">
        <v>146</v>
      </c>
      <c r="O29" s="59"/>
      <c r="P29" s="59"/>
    </row>
    <row r="30" spans="1:16" ht="30" customHeight="1">
      <c r="A30" s="58" t="s">
        <v>951</v>
      </c>
      <c r="B30" s="64" t="s">
        <v>952</v>
      </c>
      <c r="C30" s="64" t="s">
        <v>953</v>
      </c>
      <c r="D30" s="64" t="s">
        <v>954</v>
      </c>
      <c r="E30" s="64" t="s">
        <v>955</v>
      </c>
      <c r="F30" s="64" t="s">
        <v>956</v>
      </c>
      <c r="G30" s="64" t="s">
        <v>957</v>
      </c>
      <c r="H30" s="60" t="s">
        <v>958</v>
      </c>
      <c r="I30" s="61" t="s">
        <v>102</v>
      </c>
      <c r="J30" s="65" t="s">
        <v>111</v>
      </c>
      <c r="K30" s="65" t="s">
        <v>163</v>
      </c>
      <c r="L30" s="59" t="s">
        <v>818</v>
      </c>
      <c r="M30" s="66">
        <v>46249</v>
      </c>
      <c r="N30" s="64" t="s">
        <v>146</v>
      </c>
      <c r="O30" s="64"/>
      <c r="P30" s="64"/>
    </row>
    <row r="31" spans="1:16" ht="30" customHeight="1">
      <c r="A31" s="58" t="s">
        <v>959</v>
      </c>
      <c r="B31" s="59" t="s">
        <v>952</v>
      </c>
      <c r="C31" s="59" t="s">
        <v>960</v>
      </c>
      <c r="D31" s="59" t="s">
        <v>961</v>
      </c>
      <c r="E31" s="59" t="s">
        <v>955</v>
      </c>
      <c r="F31" s="59" t="s">
        <v>956</v>
      </c>
      <c r="G31" s="59" t="s">
        <v>962</v>
      </c>
      <c r="H31" s="60" t="s">
        <v>963</v>
      </c>
      <c r="I31" s="61" t="s">
        <v>102</v>
      </c>
      <c r="J31" s="62" t="s">
        <v>115</v>
      </c>
      <c r="K31" s="62" t="s">
        <v>201</v>
      </c>
      <c r="L31" s="59" t="s">
        <v>818</v>
      </c>
      <c r="M31" s="63">
        <v>46249</v>
      </c>
      <c r="N31" s="59" t="s">
        <v>146</v>
      </c>
      <c r="O31" s="59"/>
      <c r="P31" s="59"/>
    </row>
    <row r="32" spans="1:16" ht="30" customHeight="1">
      <c r="A32" s="58" t="s">
        <v>964</v>
      </c>
      <c r="B32" s="64" t="s">
        <v>952</v>
      </c>
      <c r="C32" s="64" t="s">
        <v>965</v>
      </c>
      <c r="D32" s="64" t="s">
        <v>966</v>
      </c>
      <c r="E32" s="64" t="s">
        <v>955</v>
      </c>
      <c r="F32" s="64" t="s">
        <v>956</v>
      </c>
      <c r="G32" s="64" t="s">
        <v>967</v>
      </c>
      <c r="H32" s="60" t="s">
        <v>968</v>
      </c>
      <c r="I32" s="61" t="s">
        <v>102</v>
      </c>
      <c r="J32" s="62" t="s">
        <v>115</v>
      </c>
      <c r="K32" s="62" t="s">
        <v>201</v>
      </c>
      <c r="L32" s="59" t="s">
        <v>818</v>
      </c>
      <c r="M32" s="66">
        <v>46249</v>
      </c>
      <c r="N32" s="64" t="s">
        <v>146</v>
      </c>
      <c r="O32" s="64"/>
      <c r="P32" s="64"/>
    </row>
    <row r="33" spans="1:16" ht="30" customHeight="1">
      <c r="A33" s="58" t="s">
        <v>969</v>
      </c>
      <c r="B33" s="59" t="s">
        <v>952</v>
      </c>
      <c r="C33" s="59" t="s">
        <v>970</v>
      </c>
      <c r="D33" s="59" t="s">
        <v>971</v>
      </c>
      <c r="E33" s="59" t="s">
        <v>955</v>
      </c>
      <c r="F33" s="59" t="s">
        <v>956</v>
      </c>
      <c r="G33" s="59" t="s">
        <v>972</v>
      </c>
      <c r="H33" s="60" t="s">
        <v>973</v>
      </c>
      <c r="I33" s="65" t="s">
        <v>104</v>
      </c>
      <c r="J33" s="67" t="s">
        <v>113</v>
      </c>
      <c r="K33" s="67" t="s">
        <v>180</v>
      </c>
      <c r="L33" s="59" t="s">
        <v>818</v>
      </c>
      <c r="M33" s="63">
        <v>46249</v>
      </c>
      <c r="N33" s="59" t="s">
        <v>146</v>
      </c>
      <c r="O33" s="59" t="s">
        <v>974</v>
      </c>
      <c r="P33" s="59"/>
    </row>
    <row r="34" spans="1:16" ht="30" customHeight="1">
      <c r="A34" s="58" t="s">
        <v>975</v>
      </c>
      <c r="B34" s="64" t="s">
        <v>952</v>
      </c>
      <c r="C34" s="64" t="s">
        <v>976</v>
      </c>
      <c r="D34" s="64" t="s">
        <v>977</v>
      </c>
      <c r="E34" s="64" t="s">
        <v>955</v>
      </c>
      <c r="F34" s="64" t="s">
        <v>956</v>
      </c>
      <c r="G34" s="64" t="s">
        <v>978</v>
      </c>
      <c r="H34" s="60" t="s">
        <v>973</v>
      </c>
      <c r="I34" s="65" t="s">
        <v>104</v>
      </c>
      <c r="J34" s="62" t="s">
        <v>115</v>
      </c>
      <c r="K34" s="62" t="s">
        <v>201</v>
      </c>
      <c r="L34" s="59" t="s">
        <v>818</v>
      </c>
      <c r="M34" s="66">
        <v>46249</v>
      </c>
      <c r="N34" s="64" t="s">
        <v>146</v>
      </c>
      <c r="O34" s="64" t="s">
        <v>974</v>
      </c>
      <c r="P34" s="64"/>
    </row>
    <row r="35" spans="1:16" ht="30" customHeight="1">
      <c r="A35" s="58" t="s">
        <v>979</v>
      </c>
      <c r="B35" s="59" t="s">
        <v>952</v>
      </c>
      <c r="C35" s="59" t="s">
        <v>980</v>
      </c>
      <c r="D35" s="59" t="s">
        <v>981</v>
      </c>
      <c r="E35" s="59" t="s">
        <v>955</v>
      </c>
      <c r="F35" s="59" t="s">
        <v>956</v>
      </c>
      <c r="G35" s="59" t="s">
        <v>982</v>
      </c>
      <c r="H35" s="60" t="s">
        <v>983</v>
      </c>
      <c r="I35" s="61" t="s">
        <v>102</v>
      </c>
      <c r="J35" s="62" t="s">
        <v>115</v>
      </c>
      <c r="K35" s="62" t="s">
        <v>201</v>
      </c>
      <c r="L35" s="59" t="s">
        <v>818</v>
      </c>
      <c r="M35" s="63">
        <v>46249</v>
      </c>
      <c r="N35" s="59" t="s">
        <v>146</v>
      </c>
      <c r="O35" s="59"/>
      <c r="P35" s="59"/>
    </row>
    <row r="36" spans="1:16" ht="30" customHeight="1">
      <c r="A36" s="58" t="s">
        <v>984</v>
      </c>
      <c r="B36" s="64" t="s">
        <v>985</v>
      </c>
      <c r="C36" s="64" t="s">
        <v>986</v>
      </c>
      <c r="D36" s="64" t="s">
        <v>987</v>
      </c>
      <c r="E36" s="64" t="s">
        <v>988</v>
      </c>
      <c r="F36" s="64" t="s">
        <v>989</v>
      </c>
      <c r="G36" s="64" t="s">
        <v>990</v>
      </c>
      <c r="H36" s="60" t="s">
        <v>991</v>
      </c>
      <c r="I36" s="61" t="s">
        <v>102</v>
      </c>
      <c r="J36" s="65" t="s">
        <v>111</v>
      </c>
      <c r="K36" s="65" t="s">
        <v>163</v>
      </c>
      <c r="L36" s="59" t="s">
        <v>818</v>
      </c>
      <c r="M36" s="66">
        <v>46249</v>
      </c>
      <c r="N36" s="64" t="s">
        <v>146</v>
      </c>
      <c r="O36" s="64"/>
      <c r="P36" s="64"/>
    </row>
    <row r="37" spans="1:16" ht="30" customHeight="1">
      <c r="A37" s="58" t="s">
        <v>992</v>
      </c>
      <c r="B37" s="59" t="s">
        <v>985</v>
      </c>
      <c r="C37" s="59" t="s">
        <v>993</v>
      </c>
      <c r="D37" s="59" t="s">
        <v>994</v>
      </c>
      <c r="E37" s="59" t="s">
        <v>988</v>
      </c>
      <c r="F37" s="59" t="s">
        <v>989</v>
      </c>
      <c r="G37" s="59" t="s">
        <v>995</v>
      </c>
      <c r="H37" s="60" t="s">
        <v>996</v>
      </c>
      <c r="I37" s="61" t="s">
        <v>102</v>
      </c>
      <c r="J37" s="62" t="s">
        <v>115</v>
      </c>
      <c r="K37" s="62" t="s">
        <v>201</v>
      </c>
      <c r="L37" s="59" t="s">
        <v>818</v>
      </c>
      <c r="M37" s="63">
        <v>46249</v>
      </c>
      <c r="N37" s="59" t="s">
        <v>146</v>
      </c>
      <c r="O37" s="59"/>
      <c r="P37" s="59"/>
    </row>
    <row r="38" spans="1:16" ht="30" customHeight="1">
      <c r="A38" s="58" t="s">
        <v>997</v>
      </c>
      <c r="B38" s="64" t="s">
        <v>985</v>
      </c>
      <c r="C38" s="64" t="s">
        <v>998</v>
      </c>
      <c r="D38" s="64" t="s">
        <v>999</v>
      </c>
      <c r="E38" s="64" t="s">
        <v>988</v>
      </c>
      <c r="F38" s="64" t="s">
        <v>989</v>
      </c>
      <c r="G38" s="64" t="s">
        <v>1000</v>
      </c>
      <c r="H38" s="60" t="s">
        <v>1001</v>
      </c>
      <c r="I38" s="61" t="s">
        <v>102</v>
      </c>
      <c r="J38" s="62" t="s">
        <v>115</v>
      </c>
      <c r="K38" s="62" t="s">
        <v>201</v>
      </c>
      <c r="L38" s="59" t="s">
        <v>818</v>
      </c>
      <c r="M38" s="66">
        <v>46249</v>
      </c>
      <c r="N38" s="64" t="s">
        <v>146</v>
      </c>
      <c r="O38" s="64"/>
      <c r="P38" s="64"/>
    </row>
    <row r="39" spans="1:16" ht="30" customHeight="1">
      <c r="A39" s="58" t="s">
        <v>1002</v>
      </c>
      <c r="B39" s="59" t="s">
        <v>985</v>
      </c>
      <c r="C39" s="59" t="s">
        <v>1003</v>
      </c>
      <c r="D39" s="59" t="s">
        <v>1004</v>
      </c>
      <c r="E39" s="59" t="s">
        <v>988</v>
      </c>
      <c r="F39" s="59" t="s">
        <v>989</v>
      </c>
      <c r="G39" s="59" t="s">
        <v>1005</v>
      </c>
      <c r="H39" s="60" t="s">
        <v>1006</v>
      </c>
      <c r="I39" s="61" t="s">
        <v>102</v>
      </c>
      <c r="J39" s="62" t="s">
        <v>115</v>
      </c>
      <c r="K39" s="62" t="s">
        <v>201</v>
      </c>
      <c r="L39" s="59" t="s">
        <v>818</v>
      </c>
      <c r="M39" s="63">
        <v>46249</v>
      </c>
      <c r="N39" s="59" t="s">
        <v>146</v>
      </c>
      <c r="O39" s="59"/>
      <c r="P39" s="59"/>
    </row>
    <row r="40" spans="1:16" ht="30" customHeight="1">
      <c r="A40" s="58" t="s">
        <v>1007</v>
      </c>
      <c r="B40" s="64" t="s">
        <v>1008</v>
      </c>
      <c r="C40" s="64" t="s">
        <v>1009</v>
      </c>
      <c r="D40" s="64" t="s">
        <v>1010</v>
      </c>
      <c r="E40" s="64" t="s">
        <v>1011</v>
      </c>
      <c r="F40" s="64" t="s">
        <v>1012</v>
      </c>
      <c r="G40" s="64" t="s">
        <v>1013</v>
      </c>
      <c r="H40" s="60" t="s">
        <v>1014</v>
      </c>
      <c r="I40" s="65" t="s">
        <v>104</v>
      </c>
      <c r="J40" s="67" t="s">
        <v>113</v>
      </c>
      <c r="K40" s="67" t="s">
        <v>180</v>
      </c>
      <c r="L40" s="59" t="s">
        <v>818</v>
      </c>
      <c r="M40" s="66">
        <v>46249</v>
      </c>
      <c r="N40" s="64" t="s">
        <v>146</v>
      </c>
      <c r="O40" s="64" t="s">
        <v>1015</v>
      </c>
      <c r="P40" s="64"/>
    </row>
    <row r="41" spans="1:16" ht="30" customHeight="1">
      <c r="A41" s="58" t="s">
        <v>1016</v>
      </c>
      <c r="B41" s="59" t="s">
        <v>1017</v>
      </c>
      <c r="C41" s="59" t="s">
        <v>1018</v>
      </c>
      <c r="D41" s="59" t="s">
        <v>1019</v>
      </c>
      <c r="E41" s="59" t="s">
        <v>1020</v>
      </c>
      <c r="F41" s="59" t="s">
        <v>1021</v>
      </c>
      <c r="G41" s="59" t="s">
        <v>1022</v>
      </c>
      <c r="H41" s="60" t="s">
        <v>1023</v>
      </c>
      <c r="I41" s="61" t="s">
        <v>102</v>
      </c>
      <c r="J41" s="62" t="s">
        <v>115</v>
      </c>
      <c r="K41" s="62" t="s">
        <v>201</v>
      </c>
      <c r="L41" s="59" t="s">
        <v>818</v>
      </c>
      <c r="M41" s="63">
        <v>46249</v>
      </c>
      <c r="N41" s="59" t="s">
        <v>146</v>
      </c>
      <c r="O41" s="59"/>
      <c r="P41" s="59"/>
    </row>
    <row r="42" spans="1:16" ht="30" customHeight="1">
      <c r="A42" s="58" t="s">
        <v>1024</v>
      </c>
      <c r="B42" s="64" t="s">
        <v>1025</v>
      </c>
      <c r="C42" s="64" t="s">
        <v>1026</v>
      </c>
      <c r="D42" s="64" t="s">
        <v>1027</v>
      </c>
      <c r="E42" s="64" t="s">
        <v>1028</v>
      </c>
      <c r="F42" s="64" t="s">
        <v>1029</v>
      </c>
      <c r="G42" s="64" t="s">
        <v>1030</v>
      </c>
      <c r="H42" s="60" t="s">
        <v>1031</v>
      </c>
      <c r="I42" s="61" t="s">
        <v>102</v>
      </c>
      <c r="J42" s="65" t="s">
        <v>111</v>
      </c>
      <c r="K42" s="65" t="s">
        <v>163</v>
      </c>
      <c r="L42" s="59" t="s">
        <v>818</v>
      </c>
      <c r="M42" s="66">
        <v>46249</v>
      </c>
      <c r="N42" s="64" t="s">
        <v>146</v>
      </c>
      <c r="O42" s="64"/>
      <c r="P42" s="64"/>
    </row>
    <row r="43" spans="1:16" ht="30" customHeight="1">
      <c r="A43" s="58" t="s">
        <v>1032</v>
      </c>
      <c r="B43" s="59" t="s">
        <v>1033</v>
      </c>
      <c r="C43" s="59" t="s">
        <v>1034</v>
      </c>
      <c r="D43" s="59" t="s">
        <v>1035</v>
      </c>
      <c r="E43" s="59" t="s">
        <v>1036</v>
      </c>
      <c r="F43" s="59" t="s">
        <v>1037</v>
      </c>
      <c r="G43" s="59" t="s">
        <v>1038</v>
      </c>
      <c r="H43" s="60" t="s">
        <v>1031</v>
      </c>
      <c r="I43" s="61" t="s">
        <v>102</v>
      </c>
      <c r="J43" s="65" t="s">
        <v>111</v>
      </c>
      <c r="K43" s="65" t="s">
        <v>163</v>
      </c>
      <c r="L43" s="59" t="s">
        <v>818</v>
      </c>
      <c r="M43" s="63">
        <v>46249</v>
      </c>
      <c r="N43" s="59" t="s">
        <v>146</v>
      </c>
      <c r="O43" s="59"/>
      <c r="P43" s="59"/>
    </row>
    <row r="44" spans="1:16" ht="30" customHeight="1">
      <c r="A44" s="58" t="s">
        <v>1039</v>
      </c>
      <c r="B44" s="64" t="s">
        <v>1040</v>
      </c>
      <c r="C44" s="64" t="s">
        <v>1041</v>
      </c>
      <c r="D44" s="64" t="s">
        <v>1042</v>
      </c>
      <c r="E44" s="64" t="s">
        <v>1043</v>
      </c>
      <c r="F44" s="64" t="s">
        <v>1044</v>
      </c>
      <c r="G44" s="64" t="s">
        <v>1045</v>
      </c>
      <c r="H44" s="60" t="s">
        <v>1046</v>
      </c>
      <c r="I44" s="61" t="s">
        <v>102</v>
      </c>
      <c r="J44" s="65" t="s">
        <v>111</v>
      </c>
      <c r="K44" s="65" t="s">
        <v>163</v>
      </c>
      <c r="L44" s="59" t="s">
        <v>818</v>
      </c>
      <c r="M44" s="66">
        <v>46249</v>
      </c>
      <c r="N44" s="64" t="s">
        <v>146</v>
      </c>
      <c r="O44" s="64"/>
      <c r="P44" s="64"/>
    </row>
    <row r="45" spans="1:16" ht="30" customHeight="1">
      <c r="A45" s="58" t="s">
        <v>1047</v>
      </c>
      <c r="B45" s="59" t="s">
        <v>1040</v>
      </c>
      <c r="C45" s="59" t="s">
        <v>1048</v>
      </c>
      <c r="D45" s="59" t="s">
        <v>1049</v>
      </c>
      <c r="E45" s="59" t="s">
        <v>1043</v>
      </c>
      <c r="F45" s="59" t="s">
        <v>1044</v>
      </c>
      <c r="G45" s="59" t="s">
        <v>1050</v>
      </c>
      <c r="H45" s="60" t="s">
        <v>1051</v>
      </c>
      <c r="I45" s="61" t="s">
        <v>102</v>
      </c>
      <c r="J45" s="62" t="s">
        <v>115</v>
      </c>
      <c r="K45" s="62" t="s">
        <v>201</v>
      </c>
      <c r="L45" s="59" t="s">
        <v>818</v>
      </c>
      <c r="M45" s="63">
        <v>46249</v>
      </c>
      <c r="N45" s="59" t="s">
        <v>146</v>
      </c>
      <c r="O45" s="59"/>
      <c r="P45" s="59"/>
    </row>
    <row r="46" spans="1:16" ht="30" customHeight="1">
      <c r="A46" s="58" t="s">
        <v>1052</v>
      </c>
      <c r="B46" s="64" t="s">
        <v>1053</v>
      </c>
      <c r="C46" s="64" t="s">
        <v>1054</v>
      </c>
      <c r="D46" s="64" t="s">
        <v>1055</v>
      </c>
      <c r="E46" s="64" t="s">
        <v>1056</v>
      </c>
      <c r="F46" s="64" t="s">
        <v>1057</v>
      </c>
      <c r="G46" s="64" t="s">
        <v>1058</v>
      </c>
      <c r="H46" s="60" t="s">
        <v>1059</v>
      </c>
      <c r="I46" s="61" t="s">
        <v>102</v>
      </c>
      <c r="J46" s="65" t="s">
        <v>111</v>
      </c>
      <c r="K46" s="65" t="s">
        <v>163</v>
      </c>
      <c r="L46" s="59" t="s">
        <v>818</v>
      </c>
      <c r="M46" s="66">
        <v>46249</v>
      </c>
      <c r="N46" s="64" t="s">
        <v>146</v>
      </c>
      <c r="O46" s="64"/>
      <c r="P46" s="64"/>
    </row>
    <row r="47" spans="1:16" ht="30" customHeight="1">
      <c r="A47" s="58" t="s">
        <v>1060</v>
      </c>
      <c r="B47" s="59" t="s">
        <v>1053</v>
      </c>
      <c r="C47" s="59" t="s">
        <v>1061</v>
      </c>
      <c r="D47" s="59" t="s">
        <v>1062</v>
      </c>
      <c r="E47" s="59" t="s">
        <v>1056</v>
      </c>
      <c r="F47" s="59" t="s">
        <v>1057</v>
      </c>
      <c r="G47" s="59" t="s">
        <v>1063</v>
      </c>
      <c r="H47" s="60" t="s">
        <v>1059</v>
      </c>
      <c r="I47" s="61" t="s">
        <v>102</v>
      </c>
      <c r="J47" s="62" t="s">
        <v>115</v>
      </c>
      <c r="K47" s="62" t="s">
        <v>201</v>
      </c>
      <c r="L47" s="59" t="s">
        <v>818</v>
      </c>
      <c r="M47" s="63">
        <v>46249</v>
      </c>
      <c r="N47" s="59" t="s">
        <v>146</v>
      </c>
      <c r="O47" s="59"/>
      <c r="P47" s="59"/>
    </row>
    <row r="48" spans="1:16" ht="30" customHeight="1">
      <c r="A48" s="58" t="s">
        <v>1064</v>
      </c>
      <c r="B48" s="64" t="s">
        <v>1065</v>
      </c>
      <c r="C48" s="64" t="s">
        <v>1066</v>
      </c>
      <c r="D48" s="64" t="s">
        <v>1067</v>
      </c>
      <c r="E48" s="64" t="s">
        <v>1068</v>
      </c>
      <c r="F48" s="64" t="s">
        <v>1069</v>
      </c>
      <c r="G48" s="64" t="s">
        <v>1070</v>
      </c>
      <c r="H48" s="60" t="s">
        <v>1059</v>
      </c>
      <c r="I48" s="61" t="s">
        <v>102</v>
      </c>
      <c r="J48" s="65" t="s">
        <v>111</v>
      </c>
      <c r="K48" s="65" t="s">
        <v>163</v>
      </c>
      <c r="L48" s="59" t="s">
        <v>818</v>
      </c>
      <c r="M48" s="66">
        <v>46249</v>
      </c>
      <c r="N48" s="64" t="s">
        <v>146</v>
      </c>
      <c r="O48" s="64"/>
      <c r="P48" s="64"/>
    </row>
    <row r="49" spans="1:16" ht="30" customHeight="1">
      <c r="A49" s="58" t="s">
        <v>1071</v>
      </c>
      <c r="B49" s="59" t="s">
        <v>1065</v>
      </c>
      <c r="C49" s="59" t="s">
        <v>1072</v>
      </c>
      <c r="D49" s="59" t="s">
        <v>1073</v>
      </c>
      <c r="E49" s="59" t="s">
        <v>1068</v>
      </c>
      <c r="F49" s="59" t="s">
        <v>1069</v>
      </c>
      <c r="G49" s="59" t="s">
        <v>1074</v>
      </c>
      <c r="H49" s="60" t="s">
        <v>1075</v>
      </c>
      <c r="I49" s="61" t="s">
        <v>102</v>
      </c>
      <c r="J49" s="62" t="s">
        <v>115</v>
      </c>
      <c r="K49" s="62" t="s">
        <v>201</v>
      </c>
      <c r="L49" s="59" t="s">
        <v>818</v>
      </c>
      <c r="M49" s="63">
        <v>46249</v>
      </c>
      <c r="N49" s="59" t="s">
        <v>146</v>
      </c>
      <c r="O49" s="59"/>
      <c r="P49" s="59"/>
    </row>
    <row r="50" spans="1:16" ht="30" customHeight="1">
      <c r="A50" s="58" t="s">
        <v>1076</v>
      </c>
      <c r="B50" s="64" t="s">
        <v>1065</v>
      </c>
      <c r="C50" s="64" t="s">
        <v>1077</v>
      </c>
      <c r="D50" s="64" t="s">
        <v>1078</v>
      </c>
      <c r="E50" s="64" t="s">
        <v>1068</v>
      </c>
      <c r="F50" s="64" t="s">
        <v>1069</v>
      </c>
      <c r="G50" s="64" t="s">
        <v>1079</v>
      </c>
      <c r="H50" s="60" t="s">
        <v>1080</v>
      </c>
      <c r="I50" s="61" t="s">
        <v>102</v>
      </c>
      <c r="J50" s="62" t="s">
        <v>115</v>
      </c>
      <c r="K50" s="62" t="s">
        <v>201</v>
      </c>
      <c r="L50" s="59" t="s">
        <v>818</v>
      </c>
      <c r="M50" s="66">
        <v>46249</v>
      </c>
      <c r="N50" s="64" t="s">
        <v>146</v>
      </c>
      <c r="O50" s="64"/>
      <c r="P50" s="64"/>
    </row>
    <row r="51" spans="1:16" ht="30" customHeight="1">
      <c r="A51" s="58" t="s">
        <v>1081</v>
      </c>
      <c r="B51" s="59" t="s">
        <v>1065</v>
      </c>
      <c r="C51" s="59" t="s">
        <v>1082</v>
      </c>
      <c r="D51" s="59" t="s">
        <v>1083</v>
      </c>
      <c r="E51" s="59" t="s">
        <v>1068</v>
      </c>
      <c r="F51" s="59" t="s">
        <v>1069</v>
      </c>
      <c r="G51" s="59" t="s">
        <v>1084</v>
      </c>
      <c r="H51" s="60" t="s">
        <v>1085</v>
      </c>
      <c r="I51" s="61" t="s">
        <v>102</v>
      </c>
      <c r="J51" s="62" t="s">
        <v>115</v>
      </c>
      <c r="K51" s="62" t="s">
        <v>201</v>
      </c>
      <c r="L51" s="59" t="s">
        <v>818</v>
      </c>
      <c r="M51" s="63">
        <v>46249</v>
      </c>
      <c r="N51" s="59" t="s">
        <v>146</v>
      </c>
      <c r="O51" s="59"/>
      <c r="P51" s="59"/>
    </row>
    <row r="52" spans="1:16" ht="30" customHeight="1">
      <c r="A52" s="58" t="s">
        <v>1086</v>
      </c>
      <c r="B52" s="64" t="s">
        <v>1065</v>
      </c>
      <c r="C52" s="64" t="s">
        <v>1087</v>
      </c>
      <c r="D52" s="64" t="s">
        <v>1088</v>
      </c>
      <c r="E52" s="64" t="s">
        <v>1068</v>
      </c>
      <c r="F52" s="64" t="s">
        <v>1069</v>
      </c>
      <c r="G52" s="64" t="s">
        <v>1089</v>
      </c>
      <c r="H52" s="60" t="s">
        <v>1090</v>
      </c>
      <c r="I52" s="61" t="s">
        <v>102</v>
      </c>
      <c r="J52" s="62" t="s">
        <v>115</v>
      </c>
      <c r="K52" s="62" t="s">
        <v>201</v>
      </c>
      <c r="L52" s="59" t="s">
        <v>818</v>
      </c>
      <c r="M52" s="66">
        <v>46249</v>
      </c>
      <c r="N52" s="64" t="s">
        <v>146</v>
      </c>
      <c r="O52" s="64"/>
      <c r="P52" s="64"/>
    </row>
    <row r="53" spans="1:16" ht="30" customHeight="1">
      <c r="A53" s="58" t="s">
        <v>1091</v>
      </c>
      <c r="B53" s="59" t="s">
        <v>1092</v>
      </c>
      <c r="C53" s="59" t="s">
        <v>1093</v>
      </c>
      <c r="D53" s="59" t="s">
        <v>1094</v>
      </c>
      <c r="E53" s="59" t="s">
        <v>1095</v>
      </c>
      <c r="F53" s="59" t="s">
        <v>1096</v>
      </c>
      <c r="G53" s="59" t="s">
        <v>1097</v>
      </c>
      <c r="H53" s="60" t="s">
        <v>1098</v>
      </c>
      <c r="I53" s="61" t="s">
        <v>102</v>
      </c>
      <c r="J53" s="62" t="s">
        <v>115</v>
      </c>
      <c r="K53" s="62" t="s">
        <v>201</v>
      </c>
      <c r="L53" s="59" t="s">
        <v>818</v>
      </c>
      <c r="M53" s="63">
        <v>46249</v>
      </c>
      <c r="N53" s="59" t="s">
        <v>146</v>
      </c>
      <c r="O53" s="59"/>
      <c r="P53" s="59"/>
    </row>
    <row r="54" spans="1:16" ht="30" customHeight="1">
      <c r="A54" s="58" t="s">
        <v>1099</v>
      </c>
      <c r="B54" s="64" t="s">
        <v>1100</v>
      </c>
      <c r="C54" s="64" t="s">
        <v>1101</v>
      </c>
      <c r="D54" s="64" t="s">
        <v>1102</v>
      </c>
      <c r="E54" s="64" t="s">
        <v>1103</v>
      </c>
      <c r="F54" s="64" t="s">
        <v>1104</v>
      </c>
      <c r="G54" s="64" t="s">
        <v>1105</v>
      </c>
      <c r="H54" s="60" t="s">
        <v>833</v>
      </c>
      <c r="I54" s="65" t="s">
        <v>104</v>
      </c>
      <c r="J54" s="67" t="s">
        <v>113</v>
      </c>
      <c r="K54" s="67" t="s">
        <v>180</v>
      </c>
      <c r="L54" s="59" t="s">
        <v>818</v>
      </c>
      <c r="M54" s="66">
        <v>46249</v>
      </c>
      <c r="N54" s="64" t="s">
        <v>146</v>
      </c>
      <c r="O54" s="64" t="s">
        <v>834</v>
      </c>
      <c r="P54" s="64"/>
    </row>
    <row r="55" spans="1:16" ht="30" customHeight="1">
      <c r="A55" s="34"/>
      <c r="B55" s="34"/>
      <c r="C55" s="34"/>
      <c r="D55" s="34"/>
      <c r="E55" s="34"/>
      <c r="F55" s="34"/>
      <c r="G55" s="34"/>
      <c r="H55" s="34"/>
      <c r="I55" s="34"/>
      <c r="J55" s="34"/>
      <c r="K55" s="34"/>
      <c r="L55" s="34"/>
      <c r="M55" s="35"/>
      <c r="N55" s="34"/>
      <c r="O55" s="34"/>
      <c r="P55" s="34"/>
    </row>
    <row r="56" spans="1:16" ht="30" customHeight="1">
      <c r="A56" s="34"/>
      <c r="B56" s="34"/>
      <c r="C56" s="34"/>
      <c r="D56" s="34"/>
      <c r="E56" s="34"/>
      <c r="F56" s="34"/>
      <c r="G56" s="34"/>
      <c r="H56" s="34"/>
      <c r="I56" s="34"/>
      <c r="J56" s="34"/>
      <c r="K56" s="34"/>
      <c r="L56" s="34"/>
      <c r="M56" s="35"/>
      <c r="N56" s="34"/>
      <c r="O56" s="34"/>
      <c r="P56" s="34"/>
    </row>
    <row r="57" spans="1:16" ht="30" customHeight="1">
      <c r="A57" s="34"/>
      <c r="B57" s="34"/>
      <c r="C57" s="34"/>
      <c r="D57" s="34"/>
      <c r="E57" s="34"/>
      <c r="F57" s="34"/>
      <c r="G57" s="34"/>
      <c r="H57" s="34"/>
      <c r="I57" s="34"/>
      <c r="J57" s="34"/>
      <c r="K57" s="34"/>
      <c r="L57" s="34"/>
      <c r="M57" s="35"/>
      <c r="N57" s="34"/>
      <c r="O57" s="34"/>
      <c r="P57" s="34"/>
    </row>
    <row r="58" spans="1:16" ht="30" customHeight="1">
      <c r="A58" s="34"/>
      <c r="B58" s="34"/>
      <c r="C58" s="34"/>
      <c r="D58" s="34"/>
      <c r="E58" s="34"/>
      <c r="F58" s="34"/>
      <c r="G58" s="34"/>
      <c r="H58" s="34"/>
      <c r="I58" s="34"/>
      <c r="J58" s="34"/>
      <c r="K58" s="34"/>
      <c r="L58" s="34"/>
      <c r="M58" s="35"/>
      <c r="N58" s="34"/>
      <c r="O58" s="34"/>
      <c r="P58" s="34"/>
    </row>
    <row r="59" spans="1:16" ht="30" customHeight="1">
      <c r="A59" s="34"/>
      <c r="B59" s="34"/>
      <c r="C59" s="34"/>
      <c r="D59" s="34"/>
      <c r="E59" s="34"/>
      <c r="F59" s="34"/>
      <c r="G59" s="34"/>
      <c r="H59" s="34"/>
      <c r="I59" s="34"/>
      <c r="J59" s="34"/>
      <c r="K59" s="34"/>
      <c r="L59" s="34"/>
      <c r="M59" s="35"/>
      <c r="N59" s="34"/>
      <c r="O59" s="34"/>
      <c r="P59" s="34"/>
    </row>
    <row r="60" spans="1:16" ht="30" customHeight="1">
      <c r="A60" s="34"/>
      <c r="B60" s="34"/>
      <c r="C60" s="34"/>
      <c r="D60" s="34"/>
      <c r="E60" s="34"/>
      <c r="F60" s="34"/>
      <c r="G60" s="34"/>
      <c r="H60" s="34"/>
      <c r="I60" s="34"/>
      <c r="J60" s="34"/>
      <c r="K60" s="34"/>
      <c r="L60" s="34"/>
      <c r="M60" s="35"/>
      <c r="N60" s="34"/>
      <c r="O60" s="34"/>
      <c r="P60" s="34"/>
    </row>
    <row r="61" spans="1:16" ht="30" customHeight="1">
      <c r="A61" s="34"/>
      <c r="B61" s="34"/>
      <c r="C61" s="34"/>
      <c r="D61" s="34"/>
      <c r="E61" s="34"/>
      <c r="F61" s="34"/>
      <c r="G61" s="34"/>
      <c r="H61" s="34"/>
      <c r="I61" s="34"/>
      <c r="J61" s="34"/>
      <c r="K61" s="34"/>
      <c r="L61" s="34"/>
      <c r="M61" s="35"/>
      <c r="N61" s="34"/>
      <c r="O61" s="34"/>
      <c r="P61" s="34"/>
    </row>
    <row r="62" spans="1:16" ht="30" customHeight="1">
      <c r="A62" s="34"/>
      <c r="B62" s="34"/>
      <c r="C62" s="34"/>
      <c r="D62" s="34"/>
      <c r="E62" s="34"/>
      <c r="F62" s="34"/>
      <c r="G62" s="34"/>
      <c r="H62" s="34"/>
      <c r="I62" s="34"/>
      <c r="J62" s="34"/>
      <c r="K62" s="34"/>
      <c r="L62" s="34"/>
      <c r="M62" s="35"/>
      <c r="N62" s="34"/>
      <c r="O62" s="34"/>
      <c r="P62" s="34"/>
    </row>
    <row r="63" spans="1:16" ht="30" customHeight="1">
      <c r="A63" s="34"/>
      <c r="B63" s="34"/>
      <c r="C63" s="34"/>
      <c r="D63" s="34"/>
      <c r="E63" s="34"/>
      <c r="F63" s="34"/>
      <c r="G63" s="34"/>
      <c r="H63" s="34"/>
      <c r="I63" s="34"/>
      <c r="J63" s="34"/>
      <c r="K63" s="34"/>
      <c r="L63" s="34"/>
      <c r="M63" s="35"/>
      <c r="N63" s="34"/>
      <c r="O63" s="34"/>
      <c r="P63" s="34"/>
    </row>
    <row r="64" spans="1:16" ht="30" customHeight="1">
      <c r="A64" s="34"/>
      <c r="B64" s="34"/>
      <c r="C64" s="34"/>
      <c r="D64" s="34"/>
      <c r="E64" s="34"/>
      <c r="F64" s="34"/>
      <c r="G64" s="34"/>
      <c r="H64" s="34"/>
      <c r="I64" s="34"/>
      <c r="J64" s="34"/>
      <c r="K64" s="34"/>
      <c r="L64" s="34"/>
      <c r="M64" s="35"/>
      <c r="N64" s="34"/>
      <c r="O64" s="34"/>
      <c r="P64" s="34"/>
    </row>
    <row r="65" spans="1:16" ht="30" customHeight="1">
      <c r="A65" s="34"/>
      <c r="B65" s="34"/>
      <c r="C65" s="34"/>
      <c r="D65" s="34"/>
      <c r="E65" s="34"/>
      <c r="F65" s="34"/>
      <c r="G65" s="34"/>
      <c r="H65" s="34"/>
      <c r="I65" s="34"/>
      <c r="J65" s="34"/>
      <c r="K65" s="34"/>
      <c r="L65" s="34"/>
      <c r="M65" s="35"/>
      <c r="N65" s="34"/>
      <c r="O65" s="34"/>
      <c r="P65" s="34"/>
    </row>
    <row r="66" spans="1:16" ht="30" customHeight="1">
      <c r="A66" s="34"/>
      <c r="B66" s="34"/>
      <c r="C66" s="34"/>
      <c r="D66" s="34"/>
      <c r="E66" s="34"/>
      <c r="F66" s="34"/>
      <c r="G66" s="34"/>
      <c r="H66" s="34"/>
      <c r="I66" s="34"/>
      <c r="J66" s="34"/>
      <c r="K66" s="34"/>
      <c r="L66" s="34"/>
      <c r="M66" s="35"/>
      <c r="N66" s="34"/>
      <c r="O66" s="34"/>
      <c r="P66" s="34"/>
    </row>
    <row r="67" spans="1:16" ht="30" customHeight="1">
      <c r="A67" s="34"/>
      <c r="B67" s="34"/>
      <c r="C67" s="34"/>
      <c r="D67" s="34"/>
      <c r="E67" s="34"/>
      <c r="F67" s="34"/>
      <c r="G67" s="34"/>
      <c r="H67" s="34"/>
      <c r="I67" s="34"/>
      <c r="J67" s="34"/>
      <c r="K67" s="34"/>
      <c r="L67" s="34"/>
      <c r="M67" s="35"/>
      <c r="N67" s="34"/>
      <c r="O67" s="34"/>
      <c r="P67" s="34"/>
    </row>
    <row r="68" spans="1:16" ht="30" customHeight="1">
      <c r="A68" s="34"/>
      <c r="B68" s="34"/>
      <c r="C68" s="34"/>
      <c r="D68" s="34"/>
      <c r="E68" s="34"/>
      <c r="F68" s="34"/>
      <c r="G68" s="34"/>
      <c r="H68" s="34"/>
      <c r="I68" s="34"/>
      <c r="J68" s="34"/>
      <c r="K68" s="34"/>
      <c r="L68" s="34"/>
      <c r="M68" s="35"/>
      <c r="N68" s="34"/>
      <c r="O68" s="34"/>
      <c r="P68" s="34"/>
    </row>
    <row r="69" spans="1:16" ht="30" customHeight="1">
      <c r="A69" s="34"/>
      <c r="B69" s="34"/>
      <c r="C69" s="34"/>
      <c r="D69" s="34"/>
      <c r="E69" s="34"/>
      <c r="F69" s="34"/>
      <c r="G69" s="34"/>
      <c r="H69" s="34"/>
      <c r="I69" s="34"/>
      <c r="J69" s="34"/>
      <c r="K69" s="34"/>
      <c r="L69" s="34"/>
      <c r="M69" s="35"/>
      <c r="N69" s="34"/>
      <c r="O69" s="34"/>
      <c r="P69" s="34"/>
    </row>
    <row r="70" spans="1:16" ht="30" customHeight="1">
      <c r="A70" s="34"/>
      <c r="B70" s="34"/>
      <c r="C70" s="34"/>
      <c r="D70" s="34"/>
      <c r="E70" s="34"/>
      <c r="F70" s="34"/>
      <c r="G70" s="34"/>
      <c r="H70" s="34"/>
      <c r="I70" s="34"/>
      <c r="J70" s="34"/>
      <c r="K70" s="34"/>
      <c r="L70" s="34"/>
      <c r="M70" s="35"/>
      <c r="N70" s="34"/>
      <c r="O70" s="34"/>
      <c r="P70" s="34"/>
    </row>
    <row r="71" spans="1:16" ht="30" customHeight="1">
      <c r="A71" s="34"/>
      <c r="B71" s="34"/>
      <c r="C71" s="34"/>
      <c r="D71" s="34"/>
      <c r="E71" s="34"/>
      <c r="F71" s="34"/>
      <c r="G71" s="34"/>
      <c r="H71" s="34"/>
      <c r="I71" s="34"/>
      <c r="J71" s="34"/>
      <c r="K71" s="34"/>
      <c r="L71" s="34"/>
      <c r="M71" s="35"/>
      <c r="N71" s="34"/>
      <c r="O71" s="34"/>
      <c r="P71" s="34"/>
    </row>
    <row r="72" spans="1:16" ht="30" customHeight="1">
      <c r="A72" s="34"/>
      <c r="B72" s="34"/>
      <c r="C72" s="34"/>
      <c r="D72" s="34"/>
      <c r="E72" s="34"/>
      <c r="F72" s="34"/>
      <c r="G72" s="34"/>
      <c r="H72" s="34"/>
      <c r="I72" s="34"/>
      <c r="J72" s="34"/>
      <c r="K72" s="34"/>
      <c r="L72" s="34"/>
      <c r="M72" s="35"/>
      <c r="N72" s="34"/>
      <c r="O72" s="34"/>
      <c r="P72" s="34"/>
    </row>
    <row r="73" spans="1:16" ht="30" customHeight="1">
      <c r="A73" s="34"/>
      <c r="B73" s="34"/>
      <c r="C73" s="34"/>
      <c r="D73" s="34"/>
      <c r="E73" s="34"/>
      <c r="F73" s="34"/>
      <c r="G73" s="34"/>
      <c r="H73" s="34"/>
      <c r="I73" s="34"/>
      <c r="J73" s="34"/>
      <c r="K73" s="34"/>
      <c r="L73" s="34"/>
      <c r="M73" s="35"/>
      <c r="N73" s="34"/>
      <c r="O73" s="34"/>
      <c r="P73" s="34"/>
    </row>
    <row r="74" spans="1:16" ht="30" customHeight="1">
      <c r="A74" s="34"/>
      <c r="B74" s="34"/>
      <c r="C74" s="34"/>
      <c r="D74" s="34"/>
      <c r="E74" s="34"/>
      <c r="F74" s="34"/>
      <c r="G74" s="34"/>
      <c r="H74" s="34"/>
      <c r="I74" s="34"/>
      <c r="J74" s="34"/>
      <c r="K74" s="34"/>
      <c r="L74" s="34"/>
      <c r="M74" s="35"/>
      <c r="N74" s="34"/>
      <c r="O74" s="34"/>
      <c r="P74" s="34"/>
    </row>
    <row r="75" spans="1:16" ht="30" customHeight="1">
      <c r="A75" s="34"/>
      <c r="B75" s="34"/>
      <c r="C75" s="34"/>
      <c r="D75" s="34"/>
      <c r="E75" s="34"/>
      <c r="F75" s="34"/>
      <c r="G75" s="34"/>
      <c r="H75" s="34"/>
      <c r="I75" s="34"/>
      <c r="J75" s="34"/>
      <c r="K75" s="34"/>
      <c r="L75" s="34"/>
      <c r="M75" s="35"/>
      <c r="N75" s="34"/>
      <c r="O75" s="34"/>
      <c r="P75" s="34"/>
    </row>
    <row r="76" spans="1:16" ht="30" customHeight="1">
      <c r="A76" s="34"/>
      <c r="B76" s="34"/>
      <c r="C76" s="34"/>
      <c r="D76" s="34"/>
      <c r="E76" s="34"/>
      <c r="F76" s="34"/>
      <c r="G76" s="34"/>
      <c r="H76" s="34"/>
      <c r="I76" s="34"/>
      <c r="J76" s="34"/>
      <c r="K76" s="34"/>
      <c r="L76" s="34"/>
      <c r="M76" s="35"/>
      <c r="N76" s="34"/>
      <c r="O76" s="34"/>
      <c r="P76" s="34"/>
    </row>
    <row r="77" spans="1:16" ht="30" customHeight="1">
      <c r="A77" s="34"/>
      <c r="B77" s="34"/>
      <c r="C77" s="34"/>
      <c r="D77" s="34"/>
      <c r="E77" s="34"/>
      <c r="F77" s="34"/>
      <c r="G77" s="34"/>
      <c r="H77" s="34"/>
      <c r="I77" s="34"/>
      <c r="J77" s="34"/>
      <c r="K77" s="34"/>
      <c r="L77" s="34"/>
      <c r="M77" s="35"/>
      <c r="N77" s="34"/>
      <c r="O77" s="34"/>
      <c r="P77" s="34"/>
    </row>
    <row r="78" spans="1:16" ht="30" customHeight="1">
      <c r="A78" s="34"/>
      <c r="B78" s="34"/>
      <c r="C78" s="34"/>
      <c r="D78" s="34"/>
      <c r="E78" s="34"/>
      <c r="F78" s="34"/>
      <c r="G78" s="34"/>
      <c r="H78" s="34"/>
      <c r="I78" s="34"/>
      <c r="J78" s="34"/>
      <c r="K78" s="34"/>
      <c r="L78" s="34"/>
      <c r="M78" s="35"/>
      <c r="N78" s="34"/>
      <c r="O78" s="34"/>
      <c r="P78" s="34"/>
    </row>
    <row r="79" spans="1:16" ht="30" customHeight="1">
      <c r="A79" s="34"/>
      <c r="B79" s="34"/>
      <c r="C79" s="34"/>
      <c r="D79" s="34"/>
      <c r="E79" s="34"/>
      <c r="F79" s="34"/>
      <c r="G79" s="34"/>
      <c r="H79" s="34"/>
      <c r="I79" s="34"/>
      <c r="J79" s="34"/>
      <c r="K79" s="34"/>
      <c r="L79" s="34"/>
      <c r="M79" s="35"/>
      <c r="N79" s="34"/>
      <c r="O79" s="34"/>
      <c r="P79" s="34"/>
    </row>
    <row r="80" spans="1:16" ht="30" customHeight="1">
      <c r="A80" s="34"/>
      <c r="B80" s="34"/>
      <c r="C80" s="34"/>
      <c r="D80" s="34"/>
      <c r="E80" s="34"/>
      <c r="F80" s="34"/>
      <c r="G80" s="34"/>
      <c r="H80" s="34"/>
      <c r="I80" s="34"/>
      <c r="J80" s="34"/>
      <c r="K80" s="34"/>
      <c r="L80" s="34"/>
      <c r="M80" s="35"/>
      <c r="N80" s="34"/>
      <c r="O80" s="34"/>
      <c r="P80" s="34"/>
    </row>
    <row r="81" spans="1:16" ht="30" customHeight="1">
      <c r="A81" s="34"/>
      <c r="B81" s="34"/>
      <c r="C81" s="34"/>
      <c r="D81" s="34"/>
      <c r="E81" s="34"/>
      <c r="F81" s="34"/>
      <c r="G81" s="34"/>
      <c r="H81" s="34"/>
      <c r="I81" s="34"/>
      <c r="J81" s="34"/>
      <c r="K81" s="34"/>
      <c r="L81" s="34"/>
      <c r="M81" s="35"/>
      <c r="N81" s="34"/>
      <c r="O81" s="34"/>
      <c r="P81" s="34"/>
    </row>
    <row r="82" spans="1:16" ht="30" customHeight="1">
      <c r="A82" s="34"/>
      <c r="B82" s="34"/>
      <c r="C82" s="34"/>
      <c r="D82" s="34"/>
      <c r="E82" s="34"/>
      <c r="F82" s="34"/>
      <c r="G82" s="34"/>
      <c r="H82" s="34"/>
      <c r="I82" s="34"/>
      <c r="J82" s="34"/>
      <c r="K82" s="34"/>
      <c r="L82" s="34"/>
      <c r="M82" s="35"/>
      <c r="N82" s="34"/>
      <c r="O82" s="34"/>
      <c r="P82" s="34"/>
    </row>
    <row r="83" spans="1:16" ht="30" customHeight="1">
      <c r="A83" s="34"/>
      <c r="B83" s="34"/>
      <c r="C83" s="34"/>
      <c r="D83" s="34"/>
      <c r="E83" s="34"/>
      <c r="F83" s="34"/>
      <c r="G83" s="34"/>
      <c r="H83" s="34"/>
      <c r="I83" s="34"/>
      <c r="J83" s="34"/>
      <c r="K83" s="34"/>
      <c r="L83" s="34"/>
      <c r="M83" s="35"/>
      <c r="N83" s="34"/>
      <c r="O83" s="34"/>
      <c r="P83" s="34"/>
    </row>
    <row r="84" spans="1:16" ht="30" customHeight="1">
      <c r="A84" s="34"/>
      <c r="B84" s="34"/>
      <c r="C84" s="34"/>
      <c r="D84" s="34"/>
      <c r="E84" s="34"/>
      <c r="F84" s="34"/>
      <c r="G84" s="34"/>
      <c r="H84" s="34"/>
      <c r="I84" s="34"/>
      <c r="J84" s="34"/>
      <c r="K84" s="34"/>
      <c r="L84" s="34"/>
      <c r="M84" s="35"/>
      <c r="N84" s="34"/>
      <c r="O84" s="34"/>
      <c r="P84" s="34"/>
    </row>
    <row r="85" spans="1:16" ht="30" customHeight="1">
      <c r="A85" s="34"/>
      <c r="B85" s="34"/>
      <c r="C85" s="34"/>
      <c r="D85" s="34"/>
      <c r="E85" s="34"/>
      <c r="F85" s="34"/>
      <c r="G85" s="34"/>
      <c r="H85" s="34"/>
      <c r="I85" s="34"/>
      <c r="J85" s="34"/>
      <c r="K85" s="34"/>
      <c r="L85" s="34"/>
      <c r="M85" s="35"/>
      <c r="N85" s="34"/>
      <c r="O85" s="34"/>
      <c r="P85" s="34"/>
    </row>
    <row r="86" spans="1:16" ht="30" customHeight="1">
      <c r="A86" s="34"/>
      <c r="B86" s="34"/>
      <c r="C86" s="34"/>
      <c r="D86" s="34"/>
      <c r="E86" s="34"/>
      <c r="F86" s="34"/>
      <c r="G86" s="34"/>
      <c r="H86" s="34"/>
      <c r="I86" s="34"/>
      <c r="J86" s="34"/>
      <c r="K86" s="34"/>
      <c r="L86" s="34"/>
      <c r="M86" s="35"/>
      <c r="N86" s="34"/>
      <c r="O86" s="34"/>
      <c r="P86" s="34"/>
    </row>
    <row r="87" spans="1:16" ht="30" customHeight="1">
      <c r="A87" s="34"/>
      <c r="B87" s="34"/>
      <c r="C87" s="34"/>
      <c r="D87" s="34"/>
      <c r="E87" s="34"/>
      <c r="F87" s="34"/>
      <c r="G87" s="34"/>
      <c r="H87" s="34"/>
      <c r="I87" s="34"/>
      <c r="J87" s="34"/>
      <c r="K87" s="34"/>
      <c r="L87" s="34"/>
      <c r="M87" s="35"/>
      <c r="N87" s="34"/>
      <c r="O87" s="34"/>
      <c r="P87" s="34"/>
    </row>
    <row r="88" spans="1:16" ht="30" customHeight="1">
      <c r="A88" s="34"/>
      <c r="B88" s="34"/>
      <c r="C88" s="34"/>
      <c r="D88" s="34"/>
      <c r="E88" s="34"/>
      <c r="F88" s="34"/>
      <c r="G88" s="34"/>
      <c r="H88" s="34"/>
      <c r="I88" s="34"/>
      <c r="J88" s="34"/>
      <c r="K88" s="34"/>
      <c r="L88" s="34"/>
      <c r="M88" s="35"/>
      <c r="N88" s="34"/>
      <c r="O88" s="34"/>
      <c r="P88" s="34"/>
    </row>
    <row r="89" spans="1:16" ht="30" customHeight="1">
      <c r="A89" s="34"/>
      <c r="B89" s="34"/>
      <c r="C89" s="34"/>
      <c r="D89" s="34"/>
      <c r="E89" s="34"/>
      <c r="F89" s="34"/>
      <c r="G89" s="34"/>
      <c r="H89" s="34"/>
      <c r="I89" s="34"/>
      <c r="J89" s="34"/>
      <c r="K89" s="34"/>
      <c r="L89" s="34"/>
      <c r="M89" s="35"/>
      <c r="N89" s="34"/>
      <c r="O89" s="34"/>
      <c r="P89" s="34"/>
    </row>
    <row r="90" spans="1:16" ht="30" customHeight="1">
      <c r="A90" s="34"/>
      <c r="B90" s="34"/>
      <c r="C90" s="34"/>
      <c r="D90" s="34"/>
      <c r="E90" s="34"/>
      <c r="F90" s="34"/>
      <c r="G90" s="34"/>
      <c r="H90" s="34"/>
      <c r="I90" s="34"/>
      <c r="J90" s="34"/>
      <c r="K90" s="34"/>
      <c r="L90" s="34"/>
      <c r="M90" s="35"/>
      <c r="N90" s="34"/>
      <c r="O90" s="34"/>
      <c r="P90" s="34"/>
    </row>
    <row r="91" spans="1:16" ht="30" customHeight="1">
      <c r="A91" s="34"/>
      <c r="B91" s="34"/>
      <c r="C91" s="34"/>
      <c r="D91" s="34"/>
      <c r="E91" s="34"/>
      <c r="F91" s="34"/>
      <c r="G91" s="34"/>
      <c r="H91" s="34"/>
      <c r="I91" s="34"/>
      <c r="J91" s="34"/>
      <c r="K91" s="34"/>
      <c r="L91" s="34"/>
      <c r="M91" s="35"/>
      <c r="N91" s="34"/>
      <c r="O91" s="34"/>
      <c r="P91" s="34"/>
    </row>
    <row r="92" spans="1:16" ht="30" customHeight="1">
      <c r="A92" s="34"/>
      <c r="B92" s="34"/>
      <c r="C92" s="34"/>
      <c r="D92" s="34"/>
      <c r="E92" s="34"/>
      <c r="F92" s="34"/>
      <c r="G92" s="34"/>
      <c r="H92" s="34"/>
      <c r="I92" s="34"/>
      <c r="J92" s="34"/>
      <c r="K92" s="34"/>
      <c r="L92" s="34"/>
      <c r="M92" s="35"/>
      <c r="N92" s="34"/>
      <c r="O92" s="34"/>
      <c r="P92" s="34"/>
    </row>
    <row r="93" spans="1:16" ht="30" customHeight="1">
      <c r="A93" s="34"/>
      <c r="B93" s="34"/>
      <c r="C93" s="34"/>
      <c r="D93" s="34"/>
      <c r="E93" s="34"/>
      <c r="F93" s="34"/>
      <c r="G93" s="34"/>
      <c r="H93" s="34"/>
      <c r="I93" s="34"/>
      <c r="J93" s="34"/>
      <c r="K93" s="34"/>
      <c r="L93" s="34"/>
      <c r="M93" s="35"/>
      <c r="N93" s="34"/>
      <c r="O93" s="34"/>
      <c r="P93" s="34"/>
    </row>
    <row r="94" spans="1:16" ht="30" customHeight="1">
      <c r="A94" s="34"/>
      <c r="B94" s="34"/>
      <c r="C94" s="34"/>
      <c r="D94" s="34"/>
      <c r="E94" s="34"/>
      <c r="F94" s="34"/>
      <c r="G94" s="34"/>
      <c r="H94" s="34"/>
      <c r="I94" s="34"/>
      <c r="J94" s="34"/>
      <c r="K94" s="34"/>
      <c r="L94" s="34"/>
      <c r="M94" s="35"/>
      <c r="N94" s="34"/>
      <c r="O94" s="34"/>
      <c r="P94" s="34"/>
    </row>
    <row r="95" spans="1:16" ht="30" customHeight="1">
      <c r="A95" s="34"/>
      <c r="B95" s="34"/>
      <c r="C95" s="34"/>
      <c r="D95" s="34"/>
      <c r="E95" s="34"/>
      <c r="F95" s="34"/>
      <c r="G95" s="34"/>
      <c r="H95" s="34"/>
      <c r="I95" s="34"/>
      <c r="J95" s="34"/>
      <c r="K95" s="34"/>
      <c r="L95" s="34"/>
      <c r="M95" s="35"/>
      <c r="N95" s="34"/>
      <c r="O95" s="34"/>
      <c r="P95" s="34"/>
    </row>
    <row r="96" spans="1:16" ht="30" customHeight="1">
      <c r="A96" s="34"/>
      <c r="B96" s="34"/>
      <c r="C96" s="34"/>
      <c r="D96" s="34"/>
      <c r="E96" s="34"/>
      <c r="F96" s="34"/>
      <c r="G96" s="34"/>
      <c r="H96" s="34"/>
      <c r="I96" s="34"/>
      <c r="J96" s="34"/>
      <c r="K96" s="34"/>
      <c r="L96" s="34"/>
      <c r="M96" s="35"/>
      <c r="N96" s="34"/>
      <c r="O96" s="34"/>
      <c r="P96" s="34"/>
    </row>
    <row r="97" spans="1:16" ht="30" customHeight="1">
      <c r="A97" s="34"/>
      <c r="B97" s="34"/>
      <c r="C97" s="34"/>
      <c r="D97" s="34"/>
      <c r="E97" s="34"/>
      <c r="F97" s="34"/>
      <c r="G97" s="34"/>
      <c r="H97" s="34"/>
      <c r="I97" s="34"/>
      <c r="J97" s="34"/>
      <c r="K97" s="34"/>
      <c r="L97" s="34"/>
      <c r="M97" s="35"/>
      <c r="N97" s="34"/>
      <c r="O97" s="34"/>
      <c r="P97" s="34"/>
    </row>
    <row r="98" spans="1:16" ht="30" customHeight="1">
      <c r="A98" s="34"/>
      <c r="B98" s="34"/>
      <c r="C98" s="34"/>
      <c r="D98" s="34"/>
      <c r="E98" s="34"/>
      <c r="F98" s="34"/>
      <c r="G98" s="34"/>
      <c r="H98" s="34"/>
      <c r="I98" s="34"/>
      <c r="J98" s="34"/>
      <c r="K98" s="34"/>
      <c r="L98" s="34"/>
      <c r="M98" s="35"/>
      <c r="N98" s="34"/>
      <c r="O98" s="34"/>
      <c r="P98" s="34"/>
    </row>
    <row r="99" spans="1:16" ht="30" customHeight="1">
      <c r="A99" s="34"/>
      <c r="B99" s="34"/>
      <c r="C99" s="34"/>
      <c r="D99" s="34"/>
      <c r="E99" s="34"/>
      <c r="F99" s="34"/>
      <c r="G99" s="34"/>
      <c r="H99" s="34"/>
      <c r="I99" s="34"/>
      <c r="J99" s="34"/>
      <c r="K99" s="34"/>
      <c r="L99" s="34"/>
      <c r="M99" s="35"/>
      <c r="N99" s="34"/>
      <c r="O99" s="34"/>
      <c r="P99" s="34"/>
    </row>
    <row r="100" spans="1:16" ht="30" customHeight="1">
      <c r="A100" s="34"/>
      <c r="B100" s="34"/>
      <c r="C100" s="34"/>
      <c r="D100" s="34"/>
      <c r="E100" s="34"/>
      <c r="F100" s="34"/>
      <c r="G100" s="34"/>
      <c r="H100" s="34"/>
      <c r="I100" s="34"/>
      <c r="J100" s="34"/>
      <c r="K100" s="34"/>
      <c r="L100" s="34"/>
      <c r="M100" s="35"/>
      <c r="N100" s="34"/>
      <c r="O100" s="34"/>
      <c r="P100" s="34"/>
    </row>
    <row r="101" spans="1:16" ht="30" customHeight="1">
      <c r="A101" s="34"/>
      <c r="B101" s="34"/>
      <c r="C101" s="34"/>
      <c r="D101" s="34"/>
      <c r="E101" s="34"/>
      <c r="F101" s="34"/>
      <c r="G101" s="34"/>
      <c r="H101" s="34"/>
      <c r="I101" s="34"/>
      <c r="J101" s="34"/>
      <c r="K101" s="34"/>
      <c r="L101" s="34"/>
      <c r="M101" s="35"/>
      <c r="N101" s="34"/>
      <c r="O101" s="34"/>
      <c r="P101" s="34"/>
    </row>
    <row r="102" spans="1:16" ht="30" customHeight="1">
      <c r="A102" s="34"/>
      <c r="B102" s="34"/>
      <c r="C102" s="34"/>
      <c r="D102" s="34"/>
      <c r="E102" s="34"/>
      <c r="F102" s="34"/>
      <c r="G102" s="34"/>
      <c r="H102" s="34"/>
      <c r="I102" s="34"/>
      <c r="J102" s="34"/>
      <c r="K102" s="34"/>
      <c r="L102" s="34"/>
      <c r="M102" s="35"/>
      <c r="N102" s="34"/>
      <c r="O102" s="34"/>
      <c r="P102" s="34"/>
    </row>
    <row r="103" spans="1:16" ht="30" customHeight="1">
      <c r="A103" s="34"/>
      <c r="B103" s="34"/>
      <c r="C103" s="34"/>
      <c r="D103" s="34"/>
      <c r="E103" s="34"/>
      <c r="F103" s="34"/>
      <c r="G103" s="34"/>
      <c r="H103" s="34"/>
      <c r="I103" s="34"/>
      <c r="J103" s="34"/>
      <c r="K103" s="34"/>
      <c r="L103" s="34"/>
      <c r="M103" s="35"/>
      <c r="N103" s="34"/>
      <c r="O103" s="34"/>
      <c r="P103" s="34"/>
    </row>
    <row r="104" spans="1:16" ht="30" customHeight="1">
      <c r="A104" s="34"/>
      <c r="B104" s="34"/>
      <c r="C104" s="34"/>
      <c r="D104" s="34"/>
      <c r="E104" s="34"/>
      <c r="F104" s="34"/>
      <c r="G104" s="34"/>
      <c r="H104" s="34"/>
      <c r="I104" s="34"/>
      <c r="J104" s="34"/>
      <c r="K104" s="34"/>
      <c r="L104" s="34"/>
      <c r="M104" s="35"/>
      <c r="N104" s="34"/>
      <c r="O104" s="34"/>
      <c r="P104" s="34"/>
    </row>
    <row r="105" spans="1:16" ht="30" customHeight="1">
      <c r="A105" s="34"/>
      <c r="B105" s="34"/>
      <c r="C105" s="34"/>
      <c r="D105" s="34"/>
      <c r="E105" s="34"/>
      <c r="F105" s="34"/>
      <c r="G105" s="34"/>
      <c r="H105" s="34"/>
      <c r="I105" s="34"/>
      <c r="J105" s="34"/>
      <c r="K105" s="34"/>
      <c r="L105" s="34"/>
      <c r="M105" s="35"/>
      <c r="N105" s="34"/>
      <c r="O105" s="34"/>
      <c r="P105" s="34"/>
    </row>
    <row r="106" spans="1:16" ht="30" customHeight="1">
      <c r="A106" s="34"/>
      <c r="B106" s="34"/>
      <c r="C106" s="34"/>
      <c r="D106" s="34"/>
      <c r="E106" s="34"/>
      <c r="F106" s="34"/>
      <c r="G106" s="34"/>
      <c r="H106" s="34"/>
      <c r="I106" s="34"/>
      <c r="J106" s="34"/>
      <c r="K106" s="34"/>
      <c r="L106" s="34"/>
      <c r="M106" s="35"/>
      <c r="N106" s="34"/>
      <c r="O106" s="34"/>
      <c r="P106" s="34"/>
    </row>
    <row r="107" spans="1:16" ht="30" customHeight="1">
      <c r="A107" s="34"/>
      <c r="B107" s="34"/>
      <c r="C107" s="34"/>
      <c r="D107" s="34"/>
      <c r="E107" s="34"/>
      <c r="F107" s="34"/>
      <c r="G107" s="34"/>
      <c r="H107" s="34"/>
      <c r="I107" s="34"/>
      <c r="J107" s="34"/>
      <c r="K107" s="34"/>
      <c r="L107" s="34"/>
      <c r="M107" s="35"/>
      <c r="N107" s="34"/>
      <c r="O107" s="34"/>
      <c r="P107" s="34"/>
    </row>
    <row r="108" spans="1:16" ht="30" customHeight="1">
      <c r="A108" s="34"/>
      <c r="B108" s="34"/>
      <c r="C108" s="34"/>
      <c r="D108" s="34"/>
      <c r="E108" s="34"/>
      <c r="F108" s="34"/>
      <c r="G108" s="34"/>
      <c r="H108" s="34"/>
      <c r="I108" s="34"/>
      <c r="J108" s="34"/>
      <c r="K108" s="34"/>
      <c r="L108" s="34"/>
      <c r="M108" s="35"/>
      <c r="N108" s="34"/>
      <c r="O108" s="34"/>
      <c r="P108" s="34"/>
    </row>
    <row r="109" spans="1:16" ht="30" customHeight="1">
      <c r="A109" s="34"/>
      <c r="B109" s="34"/>
      <c r="C109" s="34"/>
      <c r="D109" s="34"/>
      <c r="E109" s="34"/>
      <c r="F109" s="34"/>
      <c r="G109" s="34"/>
      <c r="H109" s="34"/>
      <c r="I109" s="34"/>
      <c r="J109" s="34"/>
      <c r="K109" s="34"/>
      <c r="L109" s="34"/>
      <c r="M109" s="35"/>
      <c r="N109" s="34"/>
      <c r="O109" s="34"/>
      <c r="P109" s="34"/>
    </row>
    <row r="110" spans="1:16" ht="30" customHeight="1">
      <c r="A110" s="34"/>
      <c r="B110" s="34"/>
      <c r="C110" s="34"/>
      <c r="D110" s="34"/>
      <c r="E110" s="34"/>
      <c r="F110" s="34"/>
      <c r="G110" s="34"/>
      <c r="H110" s="34"/>
      <c r="I110" s="34"/>
      <c r="J110" s="34"/>
      <c r="K110" s="34"/>
      <c r="L110" s="34"/>
      <c r="M110" s="35"/>
      <c r="N110" s="34"/>
      <c r="O110" s="34"/>
      <c r="P110" s="34"/>
    </row>
    <row r="111" spans="1:16" ht="30" customHeight="1">
      <c r="A111" s="34"/>
      <c r="B111" s="34"/>
      <c r="C111" s="34"/>
      <c r="D111" s="34"/>
      <c r="E111" s="34"/>
      <c r="F111" s="34"/>
      <c r="G111" s="34"/>
      <c r="H111" s="34"/>
      <c r="I111" s="34"/>
      <c r="J111" s="34"/>
      <c r="K111" s="34"/>
      <c r="L111" s="34"/>
      <c r="M111" s="35"/>
      <c r="N111" s="34"/>
      <c r="O111" s="34"/>
      <c r="P111" s="34"/>
    </row>
    <row r="112" spans="1:16" ht="30" customHeight="1">
      <c r="A112" s="34"/>
      <c r="B112" s="34"/>
      <c r="C112" s="34"/>
      <c r="D112" s="34"/>
      <c r="E112" s="34"/>
      <c r="F112" s="34"/>
      <c r="G112" s="34"/>
      <c r="H112" s="34"/>
      <c r="I112" s="34"/>
      <c r="J112" s="34"/>
      <c r="K112" s="34"/>
      <c r="L112" s="34"/>
      <c r="M112" s="35"/>
      <c r="N112" s="34"/>
      <c r="O112" s="34"/>
      <c r="P112" s="34"/>
    </row>
    <row r="113" spans="1:16" ht="30" customHeight="1">
      <c r="A113" s="34"/>
      <c r="B113" s="34"/>
      <c r="C113" s="34"/>
      <c r="D113" s="34"/>
      <c r="E113" s="34"/>
      <c r="F113" s="34"/>
      <c r="G113" s="34"/>
      <c r="H113" s="34"/>
      <c r="I113" s="34"/>
      <c r="J113" s="34"/>
      <c r="K113" s="34"/>
      <c r="L113" s="34"/>
      <c r="M113" s="35"/>
      <c r="N113" s="34"/>
      <c r="O113" s="34"/>
      <c r="P113" s="34"/>
    </row>
    <row r="114" spans="1:16" ht="30" customHeight="1">
      <c r="A114" s="34"/>
      <c r="B114" s="34"/>
      <c r="C114" s="34"/>
      <c r="D114" s="34"/>
      <c r="E114" s="34"/>
      <c r="F114" s="34"/>
      <c r="G114" s="34"/>
      <c r="H114" s="34"/>
      <c r="I114" s="34"/>
      <c r="J114" s="34"/>
      <c r="K114" s="34"/>
      <c r="L114" s="34"/>
      <c r="M114" s="35"/>
      <c r="N114" s="34"/>
      <c r="O114" s="34"/>
      <c r="P114" s="34"/>
    </row>
    <row r="115" spans="1:16" ht="30" customHeight="1">
      <c r="A115" s="34"/>
      <c r="B115" s="34"/>
      <c r="C115" s="34"/>
      <c r="D115" s="34"/>
      <c r="E115" s="34"/>
      <c r="F115" s="34"/>
      <c r="G115" s="34"/>
      <c r="H115" s="34"/>
      <c r="I115" s="34"/>
      <c r="J115" s="34"/>
      <c r="K115" s="34"/>
      <c r="L115" s="34"/>
      <c r="M115" s="35"/>
      <c r="N115" s="34"/>
      <c r="O115" s="34"/>
      <c r="P115" s="34"/>
    </row>
    <row r="116" spans="1:16" ht="30" customHeight="1">
      <c r="A116" s="34"/>
      <c r="B116" s="34"/>
      <c r="C116" s="34"/>
      <c r="D116" s="34"/>
      <c r="E116" s="34"/>
      <c r="F116" s="34"/>
      <c r="G116" s="34"/>
      <c r="H116" s="34"/>
      <c r="I116" s="34"/>
      <c r="J116" s="34"/>
      <c r="K116" s="34"/>
      <c r="L116" s="34"/>
      <c r="M116" s="35"/>
      <c r="N116" s="34"/>
      <c r="O116" s="34"/>
      <c r="P116" s="34"/>
    </row>
    <row r="117" spans="1:16" ht="30" customHeight="1">
      <c r="A117" s="34"/>
      <c r="B117" s="34"/>
      <c r="C117" s="34"/>
      <c r="D117" s="34"/>
      <c r="E117" s="34"/>
      <c r="F117" s="34"/>
      <c r="G117" s="34"/>
      <c r="H117" s="34"/>
      <c r="I117" s="34"/>
      <c r="J117" s="34"/>
      <c r="K117" s="34"/>
      <c r="L117" s="34"/>
      <c r="M117" s="35"/>
      <c r="N117" s="34"/>
      <c r="O117" s="34"/>
      <c r="P117" s="34"/>
    </row>
    <row r="118" spans="1:16" ht="30" customHeight="1">
      <c r="A118" s="34"/>
      <c r="B118" s="34"/>
      <c r="C118" s="34"/>
      <c r="D118" s="34"/>
      <c r="E118" s="34"/>
      <c r="F118" s="34"/>
      <c r="G118" s="34"/>
      <c r="H118" s="34"/>
      <c r="I118" s="34"/>
      <c r="J118" s="34"/>
      <c r="K118" s="34"/>
      <c r="L118" s="34"/>
      <c r="M118" s="35"/>
      <c r="N118" s="34"/>
      <c r="O118" s="34"/>
      <c r="P118" s="34"/>
    </row>
    <row r="119" spans="1:16" ht="30" customHeight="1">
      <c r="A119" s="34"/>
      <c r="B119" s="34"/>
      <c r="C119" s="34"/>
      <c r="D119" s="34"/>
      <c r="E119" s="34"/>
      <c r="F119" s="34"/>
      <c r="G119" s="34"/>
      <c r="H119" s="34"/>
      <c r="I119" s="34"/>
      <c r="J119" s="34"/>
      <c r="K119" s="34"/>
      <c r="L119" s="34"/>
      <c r="M119" s="35"/>
      <c r="N119" s="34"/>
      <c r="O119" s="34"/>
      <c r="P119" s="34"/>
    </row>
    <row r="120" spans="1:16" ht="30" customHeight="1">
      <c r="A120" s="34"/>
      <c r="B120" s="34"/>
      <c r="C120" s="34"/>
      <c r="D120" s="34"/>
      <c r="E120" s="34"/>
      <c r="F120" s="34"/>
      <c r="G120" s="34"/>
      <c r="H120" s="34"/>
      <c r="I120" s="34"/>
      <c r="J120" s="34"/>
      <c r="K120" s="34"/>
      <c r="L120" s="34"/>
      <c r="M120" s="35"/>
      <c r="N120" s="34"/>
      <c r="O120" s="34"/>
      <c r="P120" s="34"/>
    </row>
    <row r="121" spans="1:16" ht="30" customHeight="1">
      <c r="A121" s="34"/>
      <c r="B121" s="34"/>
      <c r="C121" s="34"/>
      <c r="D121" s="34"/>
      <c r="E121" s="34"/>
      <c r="F121" s="34"/>
      <c r="G121" s="34"/>
      <c r="H121" s="34"/>
      <c r="I121" s="34"/>
      <c r="J121" s="34"/>
      <c r="K121" s="34"/>
      <c r="L121" s="34"/>
      <c r="M121" s="35"/>
      <c r="N121" s="34"/>
      <c r="O121" s="34"/>
      <c r="P121" s="34"/>
    </row>
    <row r="122" spans="1:16" ht="30" customHeight="1">
      <c r="A122" s="34"/>
      <c r="B122" s="34"/>
      <c r="C122" s="34"/>
      <c r="D122" s="34"/>
      <c r="E122" s="34"/>
      <c r="F122" s="34"/>
      <c r="G122" s="34"/>
      <c r="H122" s="34"/>
      <c r="I122" s="34"/>
      <c r="J122" s="34"/>
      <c r="K122" s="34"/>
      <c r="L122" s="34"/>
      <c r="M122" s="35"/>
      <c r="N122" s="34"/>
      <c r="O122" s="34"/>
      <c r="P122" s="34"/>
    </row>
    <row r="123" spans="1:16" ht="30" customHeight="1">
      <c r="A123" s="34"/>
      <c r="B123" s="34"/>
      <c r="C123" s="34"/>
      <c r="D123" s="34"/>
      <c r="E123" s="34"/>
      <c r="F123" s="34"/>
      <c r="G123" s="34"/>
      <c r="H123" s="34"/>
      <c r="I123" s="34"/>
      <c r="J123" s="34"/>
      <c r="K123" s="34"/>
      <c r="L123" s="34"/>
      <c r="M123" s="35"/>
      <c r="N123" s="34"/>
      <c r="O123" s="34"/>
      <c r="P123" s="34"/>
    </row>
    <row r="124" spans="1:16" ht="30" customHeight="1">
      <c r="A124" s="34"/>
      <c r="B124" s="34"/>
      <c r="C124" s="34"/>
      <c r="D124" s="34"/>
      <c r="E124" s="34"/>
      <c r="F124" s="34"/>
      <c r="G124" s="34"/>
      <c r="H124" s="34"/>
      <c r="I124" s="34"/>
      <c r="J124" s="34"/>
      <c r="K124" s="34"/>
      <c r="L124" s="34"/>
      <c r="M124" s="35"/>
      <c r="N124" s="34"/>
      <c r="O124" s="34"/>
      <c r="P124" s="34"/>
    </row>
    <row r="125" spans="1:16" ht="30" customHeight="1">
      <c r="A125" s="34"/>
      <c r="B125" s="34"/>
      <c r="C125" s="34"/>
      <c r="D125" s="34"/>
      <c r="E125" s="34"/>
      <c r="F125" s="34"/>
      <c r="G125" s="34"/>
      <c r="H125" s="34"/>
      <c r="I125" s="34"/>
      <c r="J125" s="34"/>
      <c r="K125" s="34"/>
      <c r="L125" s="34"/>
      <c r="M125" s="35"/>
      <c r="N125" s="34"/>
      <c r="O125" s="34"/>
      <c r="P125" s="34"/>
    </row>
    <row r="126" spans="1:16" ht="30" customHeight="1">
      <c r="A126" s="34"/>
      <c r="B126" s="34"/>
      <c r="C126" s="34"/>
      <c r="D126" s="34"/>
      <c r="E126" s="34"/>
      <c r="F126" s="34"/>
      <c r="G126" s="34"/>
      <c r="H126" s="34"/>
      <c r="I126" s="34"/>
      <c r="J126" s="34"/>
      <c r="K126" s="34"/>
      <c r="L126" s="34"/>
      <c r="M126" s="35"/>
      <c r="N126" s="34"/>
      <c r="O126" s="34"/>
      <c r="P126" s="34"/>
    </row>
    <row r="127" spans="1:16" ht="30" customHeight="1">
      <c r="A127" s="34"/>
      <c r="B127" s="34"/>
      <c r="C127" s="34"/>
      <c r="D127" s="34"/>
      <c r="E127" s="34"/>
      <c r="F127" s="34"/>
      <c r="G127" s="34"/>
      <c r="H127" s="34"/>
      <c r="I127" s="34"/>
      <c r="J127" s="34"/>
      <c r="K127" s="34"/>
      <c r="L127" s="34"/>
      <c r="M127" s="35"/>
      <c r="N127" s="34"/>
      <c r="O127" s="34"/>
      <c r="P127" s="34"/>
    </row>
    <row r="128" spans="1:16" ht="30" customHeight="1">
      <c r="A128" s="34"/>
      <c r="B128" s="34"/>
      <c r="C128" s="34"/>
      <c r="D128" s="34"/>
      <c r="E128" s="34"/>
      <c r="F128" s="34"/>
      <c r="G128" s="34"/>
      <c r="H128" s="34"/>
      <c r="I128" s="34"/>
      <c r="J128" s="34"/>
      <c r="K128" s="34"/>
      <c r="L128" s="34"/>
      <c r="M128" s="35"/>
      <c r="N128" s="34"/>
      <c r="O128" s="34"/>
      <c r="P128" s="34"/>
    </row>
    <row r="129" spans="1:16" ht="30" customHeight="1">
      <c r="A129" s="34"/>
      <c r="B129" s="34"/>
      <c r="C129" s="34"/>
      <c r="D129" s="34"/>
      <c r="E129" s="34"/>
      <c r="F129" s="34"/>
      <c r="G129" s="34"/>
      <c r="H129" s="34"/>
      <c r="I129" s="34"/>
      <c r="J129" s="34"/>
      <c r="K129" s="34"/>
      <c r="L129" s="34"/>
      <c r="M129" s="35"/>
      <c r="N129" s="34"/>
      <c r="O129" s="34"/>
      <c r="P129" s="34"/>
    </row>
    <row r="130" spans="1:16" ht="30" customHeight="1">
      <c r="A130" s="34"/>
      <c r="B130" s="34"/>
      <c r="C130" s="34"/>
      <c r="D130" s="34"/>
      <c r="E130" s="34"/>
      <c r="F130" s="34"/>
      <c r="G130" s="34"/>
      <c r="H130" s="34"/>
      <c r="I130" s="34"/>
      <c r="J130" s="34"/>
      <c r="K130" s="34"/>
      <c r="L130" s="34"/>
      <c r="M130" s="35"/>
      <c r="N130" s="34"/>
      <c r="O130" s="34"/>
      <c r="P130" s="34"/>
    </row>
    <row r="131" spans="1:16" ht="30" customHeight="1">
      <c r="A131" s="34"/>
      <c r="B131" s="34"/>
      <c r="C131" s="34"/>
      <c r="D131" s="34"/>
      <c r="E131" s="34"/>
      <c r="F131" s="34"/>
      <c r="G131" s="34"/>
      <c r="H131" s="34"/>
      <c r="I131" s="34"/>
      <c r="J131" s="34"/>
      <c r="K131" s="34"/>
      <c r="L131" s="34"/>
      <c r="M131" s="35"/>
      <c r="N131" s="34"/>
      <c r="O131" s="34"/>
      <c r="P131" s="34"/>
    </row>
    <row r="132" spans="1:16" ht="30" customHeight="1">
      <c r="A132" s="34"/>
      <c r="B132" s="34"/>
      <c r="C132" s="34"/>
      <c r="D132" s="34"/>
      <c r="E132" s="34"/>
      <c r="F132" s="34"/>
      <c r="G132" s="34"/>
      <c r="H132" s="34"/>
      <c r="I132" s="34"/>
      <c r="J132" s="34"/>
      <c r="K132" s="34"/>
      <c r="L132" s="34"/>
      <c r="M132" s="35"/>
      <c r="N132" s="34"/>
      <c r="O132" s="34"/>
      <c r="P132" s="34"/>
    </row>
    <row r="133" spans="1:16" ht="30" customHeight="1">
      <c r="A133" s="34"/>
      <c r="B133" s="34"/>
      <c r="C133" s="34"/>
      <c r="D133" s="34"/>
      <c r="E133" s="34"/>
      <c r="F133" s="34"/>
      <c r="G133" s="34"/>
      <c r="H133" s="34"/>
      <c r="I133" s="34"/>
      <c r="J133" s="34"/>
      <c r="K133" s="34"/>
      <c r="L133" s="34"/>
      <c r="M133" s="35"/>
      <c r="N133" s="34"/>
      <c r="O133" s="34"/>
      <c r="P133" s="34"/>
    </row>
    <row r="134" spans="1:16" ht="30" customHeight="1">
      <c r="A134" s="34"/>
      <c r="B134" s="34"/>
      <c r="C134" s="34"/>
      <c r="D134" s="34"/>
      <c r="E134" s="34"/>
      <c r="F134" s="34"/>
      <c r="G134" s="34"/>
      <c r="H134" s="34"/>
      <c r="I134" s="34"/>
      <c r="J134" s="34"/>
      <c r="K134" s="34"/>
      <c r="L134" s="34"/>
      <c r="M134" s="35"/>
      <c r="N134" s="34"/>
      <c r="O134" s="34"/>
      <c r="P134" s="34"/>
    </row>
    <row r="135" spans="1:16" ht="30" customHeight="1">
      <c r="A135" s="34"/>
      <c r="B135" s="34"/>
      <c r="C135" s="34"/>
      <c r="D135" s="34"/>
      <c r="E135" s="34"/>
      <c r="F135" s="34"/>
      <c r="G135" s="34"/>
      <c r="H135" s="34"/>
      <c r="I135" s="34"/>
      <c r="J135" s="34"/>
      <c r="K135" s="34"/>
      <c r="L135" s="34"/>
      <c r="M135" s="35"/>
      <c r="N135" s="34"/>
      <c r="O135" s="34"/>
      <c r="P135" s="34"/>
    </row>
    <row r="136" spans="1:16" ht="30" customHeight="1">
      <c r="A136" s="34"/>
      <c r="B136" s="34"/>
      <c r="C136" s="34"/>
      <c r="D136" s="34"/>
      <c r="E136" s="34"/>
      <c r="F136" s="34"/>
      <c r="G136" s="34"/>
      <c r="H136" s="34"/>
      <c r="I136" s="34"/>
      <c r="J136" s="34"/>
      <c r="K136" s="34"/>
      <c r="L136" s="34"/>
      <c r="M136" s="35"/>
      <c r="N136" s="34"/>
      <c r="O136" s="34"/>
      <c r="P136" s="34"/>
    </row>
    <row r="137" spans="1:16" ht="30" customHeight="1">
      <c r="A137" s="34"/>
      <c r="B137" s="34"/>
      <c r="C137" s="34"/>
      <c r="D137" s="34"/>
      <c r="E137" s="34"/>
      <c r="F137" s="34"/>
      <c r="G137" s="34"/>
      <c r="H137" s="34"/>
      <c r="I137" s="34"/>
      <c r="J137" s="34"/>
      <c r="K137" s="34"/>
      <c r="L137" s="34"/>
      <c r="M137" s="35"/>
      <c r="N137" s="34"/>
      <c r="O137" s="34"/>
      <c r="P137" s="34"/>
    </row>
    <row r="138" spans="1:16" ht="30" customHeight="1">
      <c r="A138" s="34"/>
      <c r="B138" s="34"/>
      <c r="C138" s="34"/>
      <c r="D138" s="34"/>
      <c r="E138" s="34"/>
      <c r="F138" s="34"/>
      <c r="G138" s="34"/>
      <c r="H138" s="34"/>
      <c r="I138" s="34"/>
      <c r="J138" s="34"/>
      <c r="K138" s="34"/>
      <c r="L138" s="34"/>
      <c r="M138" s="35"/>
      <c r="N138" s="34"/>
      <c r="O138" s="34"/>
      <c r="P138" s="34"/>
    </row>
    <row r="139" spans="1:16" ht="30" customHeight="1">
      <c r="A139" s="34"/>
      <c r="B139" s="34"/>
      <c r="C139" s="34"/>
      <c r="D139" s="34"/>
      <c r="E139" s="34"/>
      <c r="F139" s="34"/>
      <c r="G139" s="34"/>
      <c r="H139" s="34"/>
      <c r="I139" s="34"/>
      <c r="J139" s="34"/>
      <c r="K139" s="34"/>
      <c r="L139" s="34"/>
      <c r="M139" s="35"/>
      <c r="N139" s="34"/>
      <c r="O139" s="34"/>
      <c r="P139" s="34"/>
    </row>
    <row r="140" spans="1:16" ht="30" customHeight="1">
      <c r="A140" s="34"/>
      <c r="B140" s="34"/>
      <c r="C140" s="34"/>
      <c r="D140" s="34"/>
      <c r="E140" s="34"/>
      <c r="F140" s="34"/>
      <c r="G140" s="34"/>
      <c r="H140" s="34"/>
      <c r="I140" s="34"/>
      <c r="J140" s="34"/>
      <c r="K140" s="34"/>
      <c r="L140" s="34"/>
      <c r="M140" s="35"/>
      <c r="N140" s="34"/>
      <c r="O140" s="34"/>
      <c r="P140" s="34"/>
    </row>
    <row r="141" spans="1:16" ht="30" customHeight="1">
      <c r="A141" s="34"/>
      <c r="B141" s="34"/>
      <c r="C141" s="34"/>
      <c r="D141" s="34"/>
      <c r="E141" s="34"/>
      <c r="F141" s="34"/>
      <c r="G141" s="34"/>
      <c r="H141" s="34"/>
      <c r="I141" s="34"/>
      <c r="J141" s="34"/>
      <c r="K141" s="34"/>
      <c r="L141" s="34"/>
      <c r="M141" s="35"/>
      <c r="N141" s="34"/>
      <c r="O141" s="34"/>
      <c r="P141" s="34"/>
    </row>
    <row r="142" spans="1:16" ht="30" customHeight="1">
      <c r="A142" s="34"/>
      <c r="B142" s="34"/>
      <c r="C142" s="34"/>
      <c r="D142" s="34"/>
      <c r="E142" s="34"/>
      <c r="F142" s="34"/>
      <c r="G142" s="34"/>
      <c r="H142" s="34"/>
      <c r="I142" s="34"/>
      <c r="J142" s="34"/>
      <c r="K142" s="34"/>
      <c r="L142" s="34"/>
      <c r="M142" s="35"/>
      <c r="N142" s="34"/>
      <c r="O142" s="34"/>
      <c r="P142" s="34"/>
    </row>
    <row r="143" spans="1:16" ht="30" customHeight="1">
      <c r="A143" s="34"/>
      <c r="B143" s="34"/>
      <c r="C143" s="34"/>
      <c r="D143" s="34"/>
      <c r="E143" s="34"/>
      <c r="F143" s="34"/>
      <c r="G143" s="34"/>
      <c r="H143" s="34"/>
      <c r="I143" s="34"/>
      <c r="J143" s="34"/>
      <c r="K143" s="34"/>
      <c r="L143" s="34"/>
      <c r="M143" s="35"/>
      <c r="N143" s="34"/>
      <c r="O143" s="34"/>
      <c r="P143" s="34"/>
    </row>
    <row r="144" spans="1:16" ht="30" customHeight="1">
      <c r="A144" s="34"/>
      <c r="B144" s="34"/>
      <c r="C144" s="34"/>
      <c r="D144" s="34"/>
      <c r="E144" s="34"/>
      <c r="F144" s="34"/>
      <c r="G144" s="34"/>
      <c r="H144" s="34"/>
      <c r="I144" s="34"/>
      <c r="J144" s="34"/>
      <c r="K144" s="34"/>
      <c r="L144" s="34"/>
      <c r="M144" s="35"/>
      <c r="N144" s="34"/>
      <c r="O144" s="34"/>
      <c r="P144" s="34"/>
    </row>
    <row r="145" spans="1:16" ht="30" customHeight="1">
      <c r="A145" s="34"/>
      <c r="B145" s="34"/>
      <c r="C145" s="34"/>
      <c r="D145" s="34"/>
      <c r="E145" s="34"/>
      <c r="F145" s="34"/>
      <c r="G145" s="34"/>
      <c r="H145" s="34"/>
      <c r="I145" s="34"/>
      <c r="J145" s="34"/>
      <c r="K145" s="34"/>
      <c r="L145" s="34"/>
      <c r="M145" s="35"/>
      <c r="N145" s="34"/>
      <c r="O145" s="34"/>
      <c r="P145" s="34"/>
    </row>
    <row r="146" spans="1:16" ht="30" customHeight="1">
      <c r="A146" s="34"/>
      <c r="B146" s="34"/>
      <c r="C146" s="34"/>
      <c r="D146" s="34"/>
      <c r="E146" s="34"/>
      <c r="F146" s="34"/>
      <c r="G146" s="34"/>
      <c r="H146" s="34"/>
      <c r="I146" s="34"/>
      <c r="J146" s="34"/>
      <c r="K146" s="34"/>
      <c r="L146" s="34"/>
      <c r="M146" s="35"/>
      <c r="N146" s="34"/>
      <c r="O146" s="34"/>
      <c r="P146" s="34"/>
    </row>
    <row r="147" spans="1:16" ht="30" customHeight="1">
      <c r="A147" s="34"/>
      <c r="B147" s="34"/>
      <c r="C147" s="34"/>
      <c r="D147" s="34"/>
      <c r="E147" s="34"/>
      <c r="F147" s="34"/>
      <c r="G147" s="34"/>
      <c r="H147" s="34"/>
      <c r="I147" s="34"/>
      <c r="J147" s="34"/>
      <c r="K147" s="34"/>
      <c r="L147" s="34"/>
      <c r="M147" s="35"/>
      <c r="N147" s="34"/>
      <c r="O147" s="34"/>
      <c r="P147" s="34"/>
    </row>
    <row r="148" spans="1:16" ht="30" customHeight="1">
      <c r="A148" s="34"/>
      <c r="B148" s="34"/>
      <c r="C148" s="34"/>
      <c r="D148" s="34"/>
      <c r="E148" s="34"/>
      <c r="F148" s="34"/>
      <c r="G148" s="34"/>
      <c r="H148" s="34"/>
      <c r="I148" s="34"/>
      <c r="J148" s="34"/>
      <c r="K148" s="34"/>
      <c r="L148" s="34"/>
      <c r="M148" s="35"/>
      <c r="N148" s="34"/>
      <c r="O148" s="34"/>
      <c r="P148" s="34"/>
    </row>
    <row r="149" spans="1:16" ht="30" customHeight="1">
      <c r="A149" s="34"/>
      <c r="B149" s="34"/>
      <c r="C149" s="34"/>
      <c r="D149" s="34"/>
      <c r="E149" s="34"/>
      <c r="F149" s="34"/>
      <c r="G149" s="34"/>
      <c r="H149" s="34"/>
      <c r="I149" s="34"/>
      <c r="J149" s="34"/>
      <c r="K149" s="34"/>
      <c r="L149" s="34"/>
      <c r="M149" s="35"/>
      <c r="N149" s="34"/>
      <c r="O149" s="34"/>
      <c r="P149" s="34"/>
    </row>
    <row r="150" spans="1:16" ht="30" customHeight="1">
      <c r="A150" s="34"/>
      <c r="B150" s="34"/>
      <c r="C150" s="34"/>
      <c r="D150" s="34"/>
      <c r="E150" s="34"/>
      <c r="F150" s="34"/>
      <c r="G150" s="34"/>
      <c r="H150" s="34"/>
      <c r="I150" s="34"/>
      <c r="J150" s="34"/>
      <c r="K150" s="34"/>
      <c r="L150" s="34"/>
      <c r="M150" s="35"/>
      <c r="N150" s="34"/>
      <c r="O150" s="34"/>
      <c r="P150" s="34"/>
    </row>
    <row r="151" spans="1:16" ht="30" customHeight="1">
      <c r="A151" s="34"/>
      <c r="B151" s="34"/>
      <c r="C151" s="34"/>
      <c r="D151" s="34"/>
      <c r="E151" s="34"/>
      <c r="F151" s="34"/>
      <c r="G151" s="34"/>
      <c r="H151" s="34"/>
      <c r="I151" s="34"/>
      <c r="J151" s="34"/>
      <c r="K151" s="34"/>
      <c r="L151" s="34"/>
      <c r="M151" s="35"/>
      <c r="N151" s="34"/>
      <c r="O151" s="34"/>
      <c r="P151" s="34"/>
    </row>
    <row r="152" spans="1:16" ht="30" customHeight="1">
      <c r="A152" s="34"/>
      <c r="B152" s="34"/>
      <c r="C152" s="34"/>
      <c r="D152" s="34"/>
      <c r="E152" s="34"/>
      <c r="F152" s="34"/>
      <c r="G152" s="34"/>
      <c r="H152" s="34"/>
      <c r="I152" s="34"/>
      <c r="J152" s="34"/>
      <c r="K152" s="34"/>
      <c r="L152" s="34"/>
      <c r="M152" s="35"/>
      <c r="N152" s="34"/>
      <c r="O152" s="34"/>
      <c r="P152" s="34"/>
    </row>
    <row r="153" spans="1:16" ht="30" customHeight="1">
      <c r="A153" s="34"/>
      <c r="B153" s="34"/>
      <c r="C153" s="34"/>
      <c r="D153" s="34"/>
      <c r="E153" s="34"/>
      <c r="F153" s="34"/>
      <c r="G153" s="34"/>
      <c r="H153" s="34"/>
      <c r="I153" s="34"/>
      <c r="J153" s="34"/>
      <c r="K153" s="34"/>
      <c r="L153" s="34"/>
      <c r="M153" s="35"/>
      <c r="N153" s="34"/>
      <c r="O153" s="34"/>
      <c r="P153" s="34"/>
    </row>
    <row r="154" spans="1:16" ht="30" customHeight="1">
      <c r="A154" s="34"/>
      <c r="B154" s="34"/>
      <c r="C154" s="34"/>
      <c r="D154" s="34"/>
      <c r="E154" s="34"/>
      <c r="F154" s="34"/>
      <c r="G154" s="34"/>
      <c r="H154" s="34"/>
      <c r="I154" s="34"/>
      <c r="J154" s="34"/>
      <c r="K154" s="34"/>
      <c r="L154" s="34"/>
      <c r="M154" s="35"/>
      <c r="N154" s="34"/>
      <c r="O154" s="34"/>
      <c r="P154" s="34"/>
    </row>
    <row r="155" spans="1:16" ht="30" customHeight="1">
      <c r="A155" s="34"/>
      <c r="B155" s="34"/>
      <c r="C155" s="34"/>
      <c r="D155" s="34"/>
      <c r="E155" s="34"/>
      <c r="F155" s="34"/>
      <c r="G155" s="34"/>
      <c r="H155" s="34"/>
      <c r="I155" s="34"/>
      <c r="J155" s="34"/>
      <c r="K155" s="34"/>
      <c r="L155" s="34"/>
      <c r="M155" s="35"/>
      <c r="N155" s="34"/>
      <c r="O155" s="34"/>
      <c r="P155" s="34"/>
    </row>
    <row r="156" spans="1:16" ht="30" customHeight="1">
      <c r="A156" s="34"/>
      <c r="B156" s="34"/>
      <c r="C156" s="34"/>
      <c r="D156" s="34"/>
      <c r="E156" s="34"/>
      <c r="F156" s="34"/>
      <c r="G156" s="34"/>
      <c r="H156" s="34"/>
      <c r="I156" s="34"/>
      <c r="J156" s="34"/>
      <c r="K156" s="34"/>
      <c r="L156" s="34"/>
      <c r="M156" s="35"/>
      <c r="N156" s="34"/>
      <c r="O156" s="34"/>
      <c r="P156" s="34"/>
    </row>
    <row r="157" spans="1:16" ht="30" customHeight="1">
      <c r="A157" s="34"/>
      <c r="B157" s="34"/>
      <c r="C157" s="34"/>
      <c r="D157" s="34"/>
      <c r="E157" s="34"/>
      <c r="F157" s="34"/>
      <c r="G157" s="34"/>
      <c r="H157" s="34"/>
      <c r="I157" s="34"/>
      <c r="J157" s="34"/>
      <c r="K157" s="34"/>
      <c r="L157" s="34"/>
      <c r="M157" s="35"/>
      <c r="N157" s="34"/>
      <c r="O157" s="34"/>
      <c r="P157" s="34"/>
    </row>
    <row r="158" spans="1:16" ht="30" customHeight="1">
      <c r="A158" s="34"/>
      <c r="B158" s="34"/>
      <c r="C158" s="34"/>
      <c r="D158" s="34"/>
      <c r="E158" s="34"/>
      <c r="F158" s="34"/>
      <c r="G158" s="34"/>
      <c r="H158" s="34"/>
      <c r="I158" s="34"/>
      <c r="J158" s="34"/>
      <c r="K158" s="34"/>
      <c r="L158" s="34"/>
      <c r="M158" s="35"/>
      <c r="N158" s="34"/>
      <c r="O158" s="34"/>
      <c r="P158" s="34"/>
    </row>
    <row r="159" spans="1:16" ht="30" customHeight="1">
      <c r="A159" s="34"/>
      <c r="B159" s="34"/>
      <c r="C159" s="34"/>
      <c r="D159" s="34"/>
      <c r="E159" s="34"/>
      <c r="F159" s="34"/>
      <c r="G159" s="34"/>
      <c r="H159" s="34"/>
      <c r="I159" s="34"/>
      <c r="J159" s="34"/>
      <c r="K159" s="34"/>
      <c r="L159" s="34"/>
      <c r="M159" s="35"/>
      <c r="N159" s="34"/>
      <c r="O159" s="34"/>
      <c r="P159" s="34"/>
    </row>
    <row r="160" spans="1:16" ht="30" customHeight="1">
      <c r="A160" s="34"/>
      <c r="B160" s="34"/>
      <c r="C160" s="34"/>
      <c r="D160" s="34"/>
      <c r="E160" s="34"/>
      <c r="F160" s="34"/>
      <c r="G160" s="34"/>
      <c r="H160" s="34"/>
      <c r="I160" s="34"/>
      <c r="J160" s="34"/>
      <c r="K160" s="34"/>
      <c r="L160" s="34"/>
      <c r="M160" s="35"/>
      <c r="N160" s="34"/>
      <c r="O160" s="34"/>
      <c r="P160" s="34"/>
    </row>
    <row r="161" spans="1:16" ht="30" customHeight="1">
      <c r="A161" s="34"/>
      <c r="B161" s="34"/>
      <c r="C161" s="34"/>
      <c r="D161" s="34"/>
      <c r="E161" s="34"/>
      <c r="F161" s="34"/>
      <c r="G161" s="34"/>
      <c r="H161" s="34"/>
      <c r="I161" s="34"/>
      <c r="J161" s="34"/>
      <c r="K161" s="34"/>
      <c r="L161" s="34"/>
      <c r="M161" s="35"/>
      <c r="N161" s="34"/>
      <c r="O161" s="34"/>
      <c r="P161" s="34"/>
    </row>
    <row r="162" spans="1:16" ht="30" customHeight="1">
      <c r="A162" s="34"/>
      <c r="B162" s="34"/>
      <c r="C162" s="34"/>
      <c r="D162" s="34"/>
      <c r="E162" s="34"/>
      <c r="F162" s="34"/>
      <c r="G162" s="34"/>
      <c r="H162" s="34"/>
      <c r="I162" s="34"/>
      <c r="J162" s="34"/>
      <c r="K162" s="34"/>
      <c r="L162" s="34"/>
      <c r="M162" s="35"/>
      <c r="N162" s="34"/>
      <c r="O162" s="34"/>
      <c r="P162" s="34"/>
    </row>
    <row r="163" spans="1:16" ht="30" customHeight="1">
      <c r="A163" s="34"/>
      <c r="B163" s="34"/>
      <c r="C163" s="34"/>
      <c r="D163" s="34"/>
      <c r="E163" s="34"/>
      <c r="F163" s="34"/>
      <c r="G163" s="34"/>
      <c r="H163" s="34"/>
      <c r="I163" s="34"/>
      <c r="J163" s="34"/>
      <c r="K163" s="34"/>
      <c r="L163" s="34"/>
      <c r="M163" s="35"/>
      <c r="N163" s="34"/>
      <c r="O163" s="34"/>
      <c r="P163" s="34"/>
    </row>
    <row r="164" spans="1:16" ht="30" customHeight="1">
      <c r="A164" s="34"/>
      <c r="B164" s="34"/>
      <c r="C164" s="34"/>
      <c r="D164" s="34"/>
      <c r="E164" s="34"/>
      <c r="F164" s="34"/>
      <c r="G164" s="34"/>
      <c r="H164" s="34"/>
      <c r="I164" s="34"/>
      <c r="J164" s="34"/>
      <c r="K164" s="34"/>
      <c r="L164" s="34"/>
      <c r="M164" s="35"/>
      <c r="N164" s="34"/>
      <c r="O164" s="34"/>
      <c r="P164" s="34"/>
    </row>
    <row r="165" spans="1:16" ht="30" customHeight="1">
      <c r="A165" s="34"/>
      <c r="B165" s="34"/>
      <c r="C165" s="34"/>
      <c r="D165" s="34"/>
      <c r="E165" s="34"/>
      <c r="F165" s="34"/>
      <c r="G165" s="34"/>
      <c r="H165" s="34"/>
      <c r="I165" s="34"/>
      <c r="J165" s="34"/>
      <c r="K165" s="34"/>
      <c r="L165" s="34"/>
      <c r="M165" s="35"/>
      <c r="N165" s="34"/>
      <c r="O165" s="34"/>
      <c r="P165" s="34"/>
    </row>
    <row r="166" spans="1:16" ht="30" customHeight="1">
      <c r="A166" s="34"/>
      <c r="B166" s="34"/>
      <c r="C166" s="34"/>
      <c r="D166" s="34"/>
      <c r="E166" s="34"/>
      <c r="F166" s="34"/>
      <c r="G166" s="34"/>
      <c r="H166" s="34"/>
      <c r="I166" s="34"/>
      <c r="J166" s="34"/>
      <c r="K166" s="34"/>
      <c r="L166" s="34"/>
      <c r="M166" s="35"/>
      <c r="N166" s="34"/>
      <c r="O166" s="34"/>
      <c r="P166" s="34"/>
    </row>
    <row r="167" spans="1:16" ht="30" customHeight="1">
      <c r="A167" s="34"/>
      <c r="B167" s="34"/>
      <c r="C167" s="34"/>
      <c r="D167" s="34"/>
      <c r="E167" s="34"/>
      <c r="F167" s="34"/>
      <c r="G167" s="34"/>
      <c r="H167" s="34"/>
      <c r="I167" s="34"/>
      <c r="J167" s="34"/>
      <c r="K167" s="34"/>
      <c r="L167" s="34"/>
      <c r="M167" s="35"/>
      <c r="N167" s="34"/>
      <c r="O167" s="34"/>
      <c r="P167" s="34"/>
    </row>
    <row r="168" spans="1:16" ht="30" customHeight="1">
      <c r="A168" s="34"/>
      <c r="B168" s="34"/>
      <c r="C168" s="34"/>
      <c r="D168" s="34"/>
      <c r="E168" s="34"/>
      <c r="F168" s="34"/>
      <c r="G168" s="34"/>
      <c r="H168" s="34"/>
      <c r="I168" s="34"/>
      <c r="J168" s="34"/>
      <c r="K168" s="34"/>
      <c r="L168" s="34"/>
      <c r="M168" s="35"/>
      <c r="N168" s="34"/>
      <c r="O168" s="34"/>
      <c r="P168" s="34"/>
    </row>
    <row r="169" spans="1:16" ht="30" customHeight="1">
      <c r="A169" s="34"/>
      <c r="B169" s="34"/>
      <c r="C169" s="34"/>
      <c r="D169" s="34"/>
      <c r="E169" s="34"/>
      <c r="F169" s="34"/>
      <c r="G169" s="34"/>
      <c r="H169" s="34"/>
      <c r="I169" s="34"/>
      <c r="J169" s="34"/>
      <c r="K169" s="34"/>
      <c r="L169" s="34"/>
      <c r="M169" s="35"/>
      <c r="N169" s="34"/>
      <c r="O169" s="34"/>
      <c r="P169" s="34"/>
    </row>
    <row r="170" spans="1:16" ht="30" customHeight="1">
      <c r="A170" s="34"/>
      <c r="B170" s="34"/>
      <c r="C170" s="34"/>
      <c r="D170" s="34"/>
      <c r="E170" s="34"/>
      <c r="F170" s="34"/>
      <c r="G170" s="34"/>
      <c r="H170" s="34"/>
      <c r="I170" s="34"/>
      <c r="J170" s="34"/>
      <c r="K170" s="34"/>
      <c r="L170" s="34"/>
      <c r="M170" s="35"/>
      <c r="N170" s="34"/>
      <c r="O170" s="34"/>
      <c r="P170" s="34"/>
    </row>
    <row r="171" spans="1:16" ht="30" customHeight="1">
      <c r="A171" s="34"/>
      <c r="B171" s="34"/>
      <c r="C171" s="34"/>
      <c r="D171" s="34"/>
      <c r="E171" s="34"/>
      <c r="F171" s="34"/>
      <c r="G171" s="34"/>
      <c r="H171" s="34"/>
      <c r="I171" s="34"/>
      <c r="J171" s="34"/>
      <c r="K171" s="34"/>
      <c r="L171" s="34"/>
      <c r="M171" s="35"/>
      <c r="N171" s="34"/>
      <c r="O171" s="34"/>
      <c r="P171" s="34"/>
    </row>
    <row r="172" spans="1:16" ht="30" customHeight="1">
      <c r="A172" s="34"/>
      <c r="B172" s="34"/>
      <c r="C172" s="34"/>
      <c r="D172" s="34"/>
      <c r="E172" s="34"/>
      <c r="F172" s="34"/>
      <c r="G172" s="34"/>
      <c r="H172" s="34"/>
      <c r="I172" s="34"/>
      <c r="J172" s="34"/>
      <c r="K172" s="34"/>
      <c r="L172" s="34"/>
      <c r="M172" s="35"/>
      <c r="N172" s="34"/>
      <c r="O172" s="34"/>
      <c r="P172" s="34"/>
    </row>
    <row r="173" spans="1:16" ht="30" customHeight="1">
      <c r="A173" s="34"/>
      <c r="B173" s="34"/>
      <c r="C173" s="34"/>
      <c r="D173" s="34"/>
      <c r="E173" s="34"/>
      <c r="F173" s="34"/>
      <c r="G173" s="34"/>
      <c r="H173" s="34"/>
      <c r="I173" s="34"/>
      <c r="J173" s="34"/>
      <c r="K173" s="34"/>
      <c r="L173" s="34"/>
      <c r="M173" s="35"/>
      <c r="N173" s="34"/>
      <c r="O173" s="34"/>
      <c r="P173" s="34"/>
    </row>
    <row r="174" spans="1:16" ht="30" customHeight="1">
      <c r="A174" s="34"/>
      <c r="B174" s="34"/>
      <c r="C174" s="34"/>
      <c r="D174" s="34"/>
      <c r="E174" s="34"/>
      <c r="F174" s="34"/>
      <c r="G174" s="34"/>
      <c r="H174" s="34"/>
      <c r="I174" s="34"/>
      <c r="J174" s="34"/>
      <c r="K174" s="34"/>
      <c r="L174" s="34"/>
      <c r="M174" s="35"/>
      <c r="N174" s="34"/>
      <c r="O174" s="34"/>
      <c r="P174" s="34"/>
    </row>
    <row r="175" spans="1:16" ht="30" customHeight="1">
      <c r="A175" s="34"/>
      <c r="B175" s="34"/>
      <c r="C175" s="34"/>
      <c r="D175" s="34"/>
      <c r="E175" s="34"/>
      <c r="F175" s="34"/>
      <c r="G175" s="34"/>
      <c r="H175" s="34"/>
      <c r="I175" s="34"/>
      <c r="J175" s="34"/>
      <c r="K175" s="34"/>
      <c r="L175" s="34"/>
      <c r="M175" s="35"/>
      <c r="N175" s="34"/>
      <c r="O175" s="34"/>
      <c r="P175" s="34"/>
    </row>
    <row r="176" spans="1:16" ht="30" customHeight="1">
      <c r="A176" s="34"/>
      <c r="B176" s="34"/>
      <c r="C176" s="34"/>
      <c r="D176" s="34"/>
      <c r="E176" s="34"/>
      <c r="F176" s="34"/>
      <c r="G176" s="34"/>
      <c r="H176" s="34"/>
      <c r="I176" s="34"/>
      <c r="J176" s="34"/>
      <c r="K176" s="34"/>
      <c r="L176" s="34"/>
      <c r="M176" s="35"/>
      <c r="N176" s="34"/>
      <c r="O176" s="34"/>
      <c r="P176" s="34"/>
    </row>
    <row r="177" spans="1:16" ht="30" customHeight="1">
      <c r="A177" s="34"/>
      <c r="B177" s="34"/>
      <c r="C177" s="34"/>
      <c r="D177" s="34"/>
      <c r="E177" s="34"/>
      <c r="F177" s="34"/>
      <c r="G177" s="34"/>
      <c r="H177" s="34"/>
      <c r="I177" s="34"/>
      <c r="J177" s="34"/>
      <c r="K177" s="34"/>
      <c r="L177" s="34"/>
      <c r="M177" s="35"/>
      <c r="N177" s="34"/>
      <c r="O177" s="34"/>
      <c r="P177" s="34"/>
    </row>
    <row r="178" spans="1:16" ht="30" customHeight="1">
      <c r="A178" s="34"/>
      <c r="B178" s="34"/>
      <c r="C178" s="34"/>
      <c r="D178" s="34"/>
      <c r="E178" s="34"/>
      <c r="F178" s="34"/>
      <c r="G178" s="34"/>
      <c r="H178" s="34"/>
      <c r="I178" s="34"/>
      <c r="J178" s="34"/>
      <c r="K178" s="34"/>
      <c r="L178" s="34"/>
      <c r="M178" s="35"/>
      <c r="N178" s="34"/>
      <c r="O178" s="34"/>
      <c r="P178" s="34"/>
    </row>
    <row r="179" spans="1:16" ht="30" customHeight="1">
      <c r="A179" s="34"/>
      <c r="B179" s="34"/>
      <c r="C179" s="34"/>
      <c r="D179" s="34"/>
      <c r="E179" s="34"/>
      <c r="F179" s="34"/>
      <c r="G179" s="34"/>
      <c r="H179" s="34"/>
      <c r="I179" s="34"/>
      <c r="J179" s="34"/>
      <c r="K179" s="34"/>
      <c r="L179" s="34"/>
      <c r="M179" s="35"/>
      <c r="N179" s="34"/>
      <c r="O179" s="34"/>
      <c r="P179" s="34"/>
    </row>
    <row r="180" spans="1:16" ht="30" customHeight="1">
      <c r="A180" s="34"/>
      <c r="B180" s="34"/>
      <c r="C180" s="34"/>
      <c r="D180" s="34"/>
      <c r="E180" s="34"/>
      <c r="F180" s="34"/>
      <c r="G180" s="34"/>
      <c r="H180" s="34"/>
      <c r="I180" s="34"/>
      <c r="J180" s="34"/>
      <c r="K180" s="34"/>
      <c r="L180" s="34"/>
      <c r="M180" s="35"/>
      <c r="N180" s="34"/>
      <c r="O180" s="34"/>
      <c r="P180" s="34"/>
    </row>
    <row r="181" spans="1:16" ht="30" customHeight="1">
      <c r="A181" s="34"/>
      <c r="B181" s="34"/>
      <c r="C181" s="34"/>
      <c r="D181" s="34"/>
      <c r="E181" s="34"/>
      <c r="F181" s="34"/>
      <c r="G181" s="34"/>
      <c r="H181" s="34"/>
      <c r="I181" s="34"/>
      <c r="J181" s="34"/>
      <c r="K181" s="34"/>
      <c r="L181" s="34"/>
      <c r="M181" s="35"/>
      <c r="N181" s="34"/>
      <c r="O181" s="34"/>
      <c r="P181" s="34"/>
    </row>
    <row r="182" spans="1:16" ht="30" customHeight="1">
      <c r="A182" s="34"/>
      <c r="B182" s="34"/>
      <c r="C182" s="34"/>
      <c r="D182" s="34"/>
      <c r="E182" s="34"/>
      <c r="F182" s="34"/>
      <c r="G182" s="34"/>
      <c r="H182" s="34"/>
      <c r="I182" s="34"/>
      <c r="J182" s="34"/>
      <c r="K182" s="34"/>
      <c r="L182" s="34"/>
      <c r="M182" s="35"/>
      <c r="N182" s="34"/>
      <c r="O182" s="34"/>
      <c r="P182" s="34"/>
    </row>
    <row r="183" spans="1:16" ht="30" customHeight="1">
      <c r="A183" s="34"/>
      <c r="B183" s="34"/>
      <c r="C183" s="34"/>
      <c r="D183" s="34"/>
      <c r="E183" s="34"/>
      <c r="F183" s="34"/>
      <c r="G183" s="34"/>
      <c r="H183" s="34"/>
      <c r="I183" s="34"/>
      <c r="J183" s="34"/>
      <c r="K183" s="34"/>
      <c r="L183" s="34"/>
      <c r="M183" s="35"/>
      <c r="N183" s="34"/>
      <c r="O183" s="34"/>
      <c r="P183" s="34"/>
    </row>
    <row r="184" spans="1:16" ht="30" customHeight="1">
      <c r="A184" s="34"/>
      <c r="B184" s="34"/>
      <c r="C184" s="34"/>
      <c r="D184" s="34"/>
      <c r="E184" s="34"/>
      <c r="F184" s="34"/>
      <c r="G184" s="34"/>
      <c r="H184" s="34"/>
      <c r="I184" s="34"/>
      <c r="J184" s="34"/>
      <c r="K184" s="34"/>
      <c r="L184" s="34"/>
      <c r="M184" s="35"/>
      <c r="N184" s="34"/>
      <c r="O184" s="34"/>
      <c r="P184" s="34"/>
    </row>
    <row r="185" spans="1:16" ht="30" customHeight="1">
      <c r="A185" s="34"/>
      <c r="B185" s="34"/>
      <c r="C185" s="34"/>
      <c r="D185" s="34"/>
      <c r="E185" s="34"/>
      <c r="F185" s="34"/>
      <c r="G185" s="34"/>
      <c r="H185" s="34"/>
      <c r="I185" s="34"/>
      <c r="J185" s="34"/>
      <c r="K185" s="34"/>
      <c r="L185" s="34"/>
      <c r="M185" s="35"/>
      <c r="N185" s="34"/>
      <c r="O185" s="34"/>
      <c r="P185" s="34"/>
    </row>
    <row r="186" spans="1:16" ht="30" customHeight="1">
      <c r="A186" s="34"/>
      <c r="B186" s="34"/>
      <c r="C186" s="34"/>
      <c r="D186" s="34"/>
      <c r="E186" s="34"/>
      <c r="F186" s="34"/>
      <c r="G186" s="34"/>
      <c r="H186" s="34"/>
      <c r="I186" s="34"/>
      <c r="J186" s="34"/>
      <c r="K186" s="34"/>
      <c r="L186" s="34"/>
      <c r="M186" s="35"/>
      <c r="N186" s="34"/>
      <c r="O186" s="34"/>
      <c r="P186" s="34"/>
    </row>
    <row r="187" spans="1:16" ht="30" customHeight="1">
      <c r="A187" s="34"/>
      <c r="B187" s="34"/>
      <c r="C187" s="34"/>
      <c r="D187" s="34"/>
      <c r="E187" s="34"/>
      <c r="F187" s="34"/>
      <c r="G187" s="34"/>
      <c r="H187" s="34"/>
      <c r="I187" s="34"/>
      <c r="J187" s="34"/>
      <c r="K187" s="34"/>
      <c r="L187" s="34"/>
      <c r="M187" s="35"/>
      <c r="N187" s="34"/>
      <c r="O187" s="34"/>
      <c r="P187" s="34"/>
    </row>
    <row r="188" spans="1:16" ht="30" customHeight="1">
      <c r="A188" s="34"/>
      <c r="B188" s="34"/>
      <c r="C188" s="34"/>
      <c r="D188" s="34"/>
      <c r="E188" s="34"/>
      <c r="F188" s="34"/>
      <c r="G188" s="34"/>
      <c r="H188" s="34"/>
      <c r="I188" s="34"/>
      <c r="J188" s="34"/>
      <c r="K188" s="34"/>
      <c r="L188" s="34"/>
      <c r="M188" s="35"/>
      <c r="N188" s="34"/>
      <c r="O188" s="34"/>
      <c r="P188" s="34"/>
    </row>
    <row r="189" spans="1:16" ht="30" customHeight="1">
      <c r="A189" s="34"/>
      <c r="B189" s="34"/>
      <c r="C189" s="34"/>
      <c r="D189" s="34"/>
      <c r="E189" s="34"/>
      <c r="F189" s="34"/>
      <c r="G189" s="34"/>
      <c r="H189" s="34"/>
      <c r="I189" s="34"/>
      <c r="J189" s="34"/>
      <c r="K189" s="34"/>
      <c r="L189" s="34"/>
      <c r="M189" s="35"/>
      <c r="N189" s="34"/>
      <c r="O189" s="34"/>
      <c r="P189" s="34"/>
    </row>
    <row r="190" spans="1:16" ht="30" customHeight="1">
      <c r="A190" s="34"/>
      <c r="B190" s="34"/>
      <c r="C190" s="34"/>
      <c r="D190" s="34"/>
      <c r="E190" s="34"/>
      <c r="F190" s="34"/>
      <c r="G190" s="34"/>
      <c r="H190" s="34"/>
      <c r="I190" s="34"/>
      <c r="J190" s="34"/>
      <c r="K190" s="34"/>
      <c r="L190" s="34"/>
      <c r="M190" s="35"/>
      <c r="N190" s="34"/>
      <c r="O190" s="34"/>
      <c r="P190" s="34"/>
    </row>
    <row r="191" spans="1:16" ht="30" customHeight="1">
      <c r="A191" s="34"/>
      <c r="B191" s="34"/>
      <c r="C191" s="34"/>
      <c r="D191" s="34"/>
      <c r="E191" s="34"/>
      <c r="F191" s="34"/>
      <c r="G191" s="34"/>
      <c r="H191" s="34"/>
      <c r="I191" s="34"/>
      <c r="J191" s="34"/>
      <c r="K191" s="34"/>
      <c r="L191" s="34"/>
      <c r="M191" s="35"/>
      <c r="N191" s="34"/>
      <c r="O191" s="34"/>
      <c r="P191" s="34"/>
    </row>
    <row r="192" spans="1:16" ht="30" customHeight="1">
      <c r="A192" s="34"/>
      <c r="B192" s="34"/>
      <c r="C192" s="34"/>
      <c r="D192" s="34"/>
      <c r="E192" s="34"/>
      <c r="F192" s="34"/>
      <c r="G192" s="34"/>
      <c r="H192" s="34"/>
      <c r="I192" s="34"/>
      <c r="J192" s="34"/>
      <c r="K192" s="34"/>
      <c r="L192" s="34"/>
      <c r="M192" s="35"/>
      <c r="N192" s="34"/>
      <c r="O192" s="34"/>
      <c r="P192" s="34"/>
    </row>
    <row r="193" spans="1:16" ht="30" customHeight="1">
      <c r="A193" s="34"/>
      <c r="B193" s="34"/>
      <c r="C193" s="34"/>
      <c r="D193" s="34"/>
      <c r="E193" s="34"/>
      <c r="F193" s="34"/>
      <c r="G193" s="34"/>
      <c r="H193" s="34"/>
      <c r="I193" s="34"/>
      <c r="J193" s="34"/>
      <c r="K193" s="34"/>
      <c r="L193" s="34"/>
      <c r="M193" s="35"/>
      <c r="N193" s="34"/>
      <c r="O193" s="34"/>
      <c r="P193" s="34"/>
    </row>
    <row r="194" spans="1:16" ht="30" customHeight="1">
      <c r="A194" s="34"/>
      <c r="B194" s="34"/>
      <c r="C194" s="34"/>
      <c r="D194" s="34"/>
      <c r="E194" s="34"/>
      <c r="F194" s="34"/>
      <c r="G194" s="34"/>
      <c r="H194" s="34"/>
      <c r="I194" s="34"/>
      <c r="J194" s="34"/>
      <c r="K194" s="34"/>
      <c r="L194" s="34"/>
      <c r="M194" s="35"/>
      <c r="N194" s="34"/>
      <c r="O194" s="34"/>
      <c r="P194" s="34"/>
    </row>
    <row r="195" spans="1:16" ht="30" customHeight="1">
      <c r="A195" s="34"/>
      <c r="B195" s="34"/>
      <c r="C195" s="34"/>
      <c r="D195" s="34"/>
      <c r="E195" s="34"/>
      <c r="F195" s="34"/>
      <c r="G195" s="34"/>
      <c r="H195" s="34"/>
      <c r="I195" s="34"/>
      <c r="J195" s="34"/>
      <c r="K195" s="34"/>
      <c r="L195" s="34"/>
      <c r="M195" s="35"/>
      <c r="N195" s="34"/>
      <c r="O195" s="34"/>
      <c r="P195" s="34"/>
    </row>
    <row r="196" spans="1:16" ht="30" customHeight="1">
      <c r="A196" s="34"/>
      <c r="B196" s="34"/>
      <c r="C196" s="34"/>
      <c r="D196" s="34"/>
      <c r="E196" s="34"/>
      <c r="F196" s="34"/>
      <c r="G196" s="34"/>
      <c r="H196" s="34"/>
      <c r="I196" s="34"/>
      <c r="J196" s="34"/>
      <c r="K196" s="34"/>
      <c r="L196" s="34"/>
      <c r="M196" s="35"/>
      <c r="N196" s="34"/>
      <c r="O196" s="34"/>
      <c r="P196" s="34"/>
    </row>
    <row r="197" spans="1:16" ht="30" customHeight="1">
      <c r="A197" s="34"/>
      <c r="B197" s="34"/>
      <c r="C197" s="34"/>
      <c r="D197" s="34"/>
      <c r="E197" s="34"/>
      <c r="F197" s="34"/>
      <c r="G197" s="34"/>
      <c r="H197" s="34"/>
      <c r="I197" s="34"/>
      <c r="J197" s="34"/>
      <c r="K197" s="34"/>
      <c r="L197" s="34"/>
      <c r="M197" s="35"/>
      <c r="N197" s="34"/>
      <c r="O197" s="34"/>
      <c r="P197" s="34"/>
    </row>
    <row r="198" spans="1:16" ht="30" customHeight="1">
      <c r="A198" s="34"/>
      <c r="B198" s="34"/>
      <c r="C198" s="34"/>
      <c r="D198" s="34"/>
      <c r="E198" s="34"/>
      <c r="F198" s="34"/>
      <c r="G198" s="34"/>
      <c r="H198" s="34"/>
      <c r="I198" s="34"/>
      <c r="J198" s="34"/>
      <c r="K198" s="34"/>
      <c r="L198" s="34"/>
      <c r="M198" s="35"/>
      <c r="N198" s="34"/>
      <c r="O198" s="34"/>
      <c r="P198" s="34"/>
    </row>
    <row r="199" spans="1:16" ht="30" customHeight="1">
      <c r="A199" s="34"/>
      <c r="B199" s="34"/>
      <c r="C199" s="34"/>
      <c r="D199" s="34"/>
      <c r="E199" s="34"/>
      <c r="F199" s="34"/>
      <c r="G199" s="34"/>
      <c r="H199" s="34"/>
      <c r="I199" s="34"/>
      <c r="J199" s="34"/>
      <c r="K199" s="34"/>
      <c r="L199" s="34"/>
      <c r="M199" s="35"/>
      <c r="N199" s="34"/>
      <c r="O199" s="34"/>
      <c r="P199" s="34"/>
    </row>
    <row r="200" spans="1:16" ht="30" customHeight="1">
      <c r="A200" s="34"/>
      <c r="B200" s="34"/>
      <c r="C200" s="34"/>
      <c r="D200" s="34"/>
      <c r="E200" s="34"/>
      <c r="F200" s="34"/>
      <c r="G200" s="34"/>
      <c r="H200" s="34"/>
      <c r="I200" s="34"/>
      <c r="J200" s="34"/>
      <c r="K200" s="34"/>
      <c r="L200" s="34"/>
      <c r="M200" s="35"/>
      <c r="N200" s="34"/>
      <c r="O200" s="34"/>
      <c r="P200" s="34"/>
    </row>
    <row r="201" spans="1:16" ht="30" customHeight="1">
      <c r="A201" s="34"/>
      <c r="B201" s="34"/>
      <c r="C201" s="34"/>
      <c r="D201" s="34"/>
      <c r="E201" s="34"/>
      <c r="F201" s="34"/>
      <c r="G201" s="34"/>
      <c r="H201" s="34"/>
      <c r="I201" s="34"/>
      <c r="J201" s="34"/>
      <c r="K201" s="34"/>
      <c r="L201" s="34"/>
      <c r="M201" s="35"/>
      <c r="N201" s="34"/>
      <c r="O201" s="34"/>
      <c r="P201" s="34"/>
    </row>
    <row r="202" spans="1:16" ht="30" customHeight="1">
      <c r="A202" s="34"/>
      <c r="B202" s="34"/>
      <c r="C202" s="34"/>
      <c r="D202" s="34"/>
      <c r="E202" s="34"/>
      <c r="F202" s="34"/>
      <c r="G202" s="34"/>
      <c r="H202" s="34"/>
      <c r="I202" s="34"/>
      <c r="J202" s="34"/>
      <c r="K202" s="34"/>
      <c r="L202" s="34"/>
      <c r="M202" s="35"/>
      <c r="N202" s="34"/>
      <c r="O202" s="34"/>
      <c r="P202" s="34"/>
    </row>
    <row r="203" spans="1:16" ht="30" customHeight="1">
      <c r="A203" s="34"/>
      <c r="B203" s="34"/>
      <c r="C203" s="34"/>
      <c r="D203" s="34"/>
      <c r="E203" s="34"/>
      <c r="F203" s="34"/>
      <c r="G203" s="34"/>
      <c r="H203" s="34"/>
      <c r="I203" s="34"/>
      <c r="J203" s="34"/>
      <c r="K203" s="34"/>
      <c r="L203" s="34"/>
      <c r="M203" s="35"/>
      <c r="N203" s="34"/>
      <c r="O203" s="34"/>
      <c r="P203" s="34"/>
    </row>
    <row r="204" spans="1:16" ht="30" customHeight="1">
      <c r="A204" s="34"/>
      <c r="B204" s="34"/>
      <c r="C204" s="34"/>
      <c r="D204" s="34"/>
      <c r="E204" s="34"/>
      <c r="F204" s="34"/>
      <c r="G204" s="34"/>
      <c r="H204" s="34"/>
      <c r="I204" s="34"/>
      <c r="J204" s="34"/>
      <c r="K204" s="34"/>
      <c r="L204" s="34"/>
      <c r="M204" s="35"/>
      <c r="N204" s="34"/>
      <c r="O204" s="34"/>
      <c r="P204" s="34"/>
    </row>
    <row r="205" spans="1:16" ht="30" customHeight="1">
      <c r="A205" s="34"/>
      <c r="B205" s="34"/>
      <c r="C205" s="34"/>
      <c r="D205" s="34"/>
      <c r="E205" s="34"/>
      <c r="F205" s="34"/>
      <c r="G205" s="34"/>
      <c r="H205" s="34"/>
      <c r="I205" s="34"/>
      <c r="J205" s="34"/>
      <c r="K205" s="34"/>
      <c r="L205" s="34"/>
      <c r="M205" s="35"/>
      <c r="N205" s="34"/>
      <c r="O205" s="34"/>
      <c r="P205" s="34"/>
    </row>
    <row r="206" spans="1:16" ht="30" customHeight="1">
      <c r="A206" s="34"/>
      <c r="B206" s="34"/>
      <c r="C206" s="34"/>
      <c r="D206" s="34"/>
      <c r="E206" s="34"/>
      <c r="F206" s="34"/>
      <c r="G206" s="34"/>
      <c r="H206" s="34"/>
      <c r="I206" s="34"/>
      <c r="J206" s="34"/>
      <c r="K206" s="34"/>
      <c r="L206" s="34"/>
      <c r="M206" s="35"/>
      <c r="N206" s="34"/>
      <c r="O206" s="34"/>
      <c r="P206" s="34"/>
    </row>
    <row r="207" spans="1:16" ht="30" customHeight="1">
      <c r="A207" s="34"/>
      <c r="B207" s="34"/>
      <c r="C207" s="34"/>
      <c r="D207" s="34"/>
      <c r="E207" s="34"/>
      <c r="F207" s="34"/>
      <c r="G207" s="34"/>
      <c r="H207" s="34"/>
      <c r="I207" s="34"/>
      <c r="J207" s="34"/>
      <c r="K207" s="34"/>
      <c r="L207" s="34"/>
      <c r="M207" s="35"/>
      <c r="N207" s="34"/>
      <c r="O207" s="34"/>
      <c r="P207" s="34"/>
    </row>
    <row r="208" spans="1:16" ht="30" customHeight="1">
      <c r="A208" s="34"/>
      <c r="B208" s="34"/>
      <c r="C208" s="34"/>
      <c r="D208" s="34"/>
      <c r="E208" s="34"/>
      <c r="F208" s="34"/>
      <c r="G208" s="34"/>
      <c r="H208" s="34"/>
      <c r="I208" s="34"/>
      <c r="J208" s="34"/>
      <c r="K208" s="34"/>
      <c r="L208" s="34"/>
      <c r="M208" s="35"/>
      <c r="N208" s="34"/>
      <c r="O208" s="34"/>
      <c r="P208" s="34"/>
    </row>
    <row r="209" spans="1:16" ht="30" customHeight="1">
      <c r="A209" s="34"/>
      <c r="B209" s="34"/>
      <c r="C209" s="34"/>
      <c r="D209" s="34"/>
      <c r="E209" s="34"/>
      <c r="F209" s="34"/>
      <c r="G209" s="34"/>
      <c r="H209" s="34"/>
      <c r="I209" s="34"/>
      <c r="J209" s="34"/>
      <c r="K209" s="34"/>
      <c r="L209" s="34"/>
      <c r="M209" s="35"/>
      <c r="N209" s="34"/>
      <c r="O209" s="34"/>
      <c r="P209" s="34"/>
    </row>
    <row r="210" spans="1:16" ht="30" customHeight="1">
      <c r="A210" s="34"/>
      <c r="B210" s="34"/>
      <c r="C210" s="34"/>
      <c r="D210" s="34"/>
      <c r="E210" s="34"/>
      <c r="F210" s="34"/>
      <c r="G210" s="34"/>
      <c r="H210" s="34"/>
      <c r="I210" s="34"/>
      <c r="J210" s="34"/>
      <c r="K210" s="34"/>
      <c r="L210" s="34"/>
      <c r="M210" s="35"/>
      <c r="N210" s="34"/>
      <c r="O210" s="34"/>
      <c r="P210" s="34"/>
    </row>
    <row r="211" spans="1:16" ht="30" customHeight="1">
      <c r="A211" s="34"/>
      <c r="B211" s="34"/>
      <c r="C211" s="34"/>
      <c r="D211" s="34"/>
      <c r="E211" s="34"/>
      <c r="F211" s="34"/>
      <c r="G211" s="34"/>
      <c r="H211" s="34"/>
      <c r="I211" s="34"/>
      <c r="J211" s="34"/>
      <c r="K211" s="34"/>
      <c r="L211" s="34"/>
      <c r="M211" s="35"/>
      <c r="N211" s="34"/>
      <c r="O211" s="34"/>
      <c r="P211" s="34"/>
    </row>
    <row r="212" spans="1:16" ht="30" customHeight="1">
      <c r="A212" s="34"/>
      <c r="B212" s="34"/>
      <c r="C212" s="34"/>
      <c r="D212" s="34"/>
      <c r="E212" s="34"/>
      <c r="F212" s="34"/>
      <c r="G212" s="34"/>
      <c r="H212" s="34"/>
      <c r="I212" s="34"/>
      <c r="J212" s="34"/>
      <c r="K212" s="34"/>
      <c r="L212" s="34"/>
      <c r="M212" s="35"/>
      <c r="N212" s="34"/>
      <c r="O212" s="34"/>
      <c r="P212" s="34"/>
    </row>
    <row r="213" spans="1:16" ht="30" customHeight="1">
      <c r="A213" s="34"/>
      <c r="B213" s="34"/>
      <c r="C213" s="34"/>
      <c r="D213" s="34"/>
      <c r="E213" s="34"/>
      <c r="F213" s="34"/>
      <c r="G213" s="34"/>
      <c r="H213" s="34"/>
      <c r="I213" s="34"/>
      <c r="J213" s="34"/>
      <c r="K213" s="34"/>
      <c r="L213" s="34"/>
      <c r="M213" s="35"/>
      <c r="N213" s="34"/>
      <c r="O213" s="34"/>
      <c r="P213" s="34"/>
    </row>
    <row r="214" spans="1:16" ht="30" customHeight="1">
      <c r="A214" s="34"/>
      <c r="B214" s="34"/>
      <c r="C214" s="34"/>
      <c r="D214" s="34"/>
      <c r="E214" s="34"/>
      <c r="F214" s="34"/>
      <c r="G214" s="34"/>
      <c r="H214" s="34"/>
      <c r="I214" s="34"/>
      <c r="J214" s="34"/>
      <c r="K214" s="34"/>
      <c r="L214" s="34"/>
      <c r="M214" s="35"/>
      <c r="N214" s="34"/>
      <c r="O214" s="34"/>
      <c r="P214" s="34"/>
    </row>
    <row r="215" spans="1:16" ht="30" customHeight="1">
      <c r="A215" s="34"/>
      <c r="B215" s="34"/>
      <c r="C215" s="34"/>
      <c r="D215" s="34"/>
      <c r="E215" s="34"/>
      <c r="F215" s="34"/>
      <c r="G215" s="34"/>
      <c r="H215" s="34"/>
      <c r="I215" s="34"/>
      <c r="J215" s="34"/>
      <c r="K215" s="34"/>
      <c r="L215" s="34"/>
      <c r="M215" s="35"/>
      <c r="N215" s="34"/>
      <c r="O215" s="34"/>
      <c r="P215" s="34"/>
    </row>
    <row r="216" spans="1:16" ht="30" customHeight="1">
      <c r="A216" s="34"/>
      <c r="B216" s="34"/>
      <c r="C216" s="34"/>
      <c r="D216" s="34"/>
      <c r="E216" s="34"/>
      <c r="F216" s="34"/>
      <c r="G216" s="34"/>
      <c r="H216" s="34"/>
      <c r="I216" s="34"/>
      <c r="J216" s="34"/>
      <c r="K216" s="34"/>
      <c r="L216" s="34"/>
      <c r="M216" s="35"/>
      <c r="N216" s="34"/>
      <c r="O216" s="34"/>
      <c r="P216" s="34"/>
    </row>
    <row r="217" spans="1:16" ht="30" customHeight="1">
      <c r="A217" s="34"/>
      <c r="B217" s="34"/>
      <c r="C217" s="34"/>
      <c r="D217" s="34"/>
      <c r="E217" s="34"/>
      <c r="F217" s="34"/>
      <c r="G217" s="34"/>
      <c r="H217" s="34"/>
      <c r="I217" s="34"/>
      <c r="J217" s="34"/>
      <c r="K217" s="34"/>
      <c r="L217" s="34"/>
      <c r="M217" s="35"/>
      <c r="N217" s="34"/>
      <c r="O217" s="34"/>
      <c r="P217" s="34"/>
    </row>
    <row r="218" spans="1:16" ht="30" customHeight="1">
      <c r="A218" s="34"/>
      <c r="B218" s="34"/>
      <c r="C218" s="34"/>
      <c r="D218" s="34"/>
      <c r="E218" s="34"/>
      <c r="F218" s="34"/>
      <c r="G218" s="34"/>
      <c r="H218" s="34"/>
      <c r="I218" s="34"/>
      <c r="J218" s="34"/>
      <c r="K218" s="34"/>
      <c r="L218" s="34"/>
      <c r="M218" s="35"/>
      <c r="N218" s="34"/>
      <c r="O218" s="34"/>
      <c r="P218" s="34"/>
    </row>
    <row r="219" spans="1:16" ht="30" customHeight="1">
      <c r="A219" s="34"/>
      <c r="B219" s="34"/>
      <c r="C219" s="34"/>
      <c r="D219" s="34"/>
      <c r="E219" s="34"/>
      <c r="F219" s="34"/>
      <c r="G219" s="34"/>
      <c r="H219" s="34"/>
      <c r="I219" s="34"/>
      <c r="J219" s="34"/>
      <c r="K219" s="34"/>
      <c r="L219" s="34"/>
      <c r="M219" s="35"/>
      <c r="N219" s="34"/>
      <c r="O219" s="34"/>
      <c r="P219" s="34"/>
    </row>
    <row r="220" spans="1:16" ht="30" customHeight="1">
      <c r="A220" s="34"/>
      <c r="B220" s="34"/>
      <c r="C220" s="34"/>
      <c r="D220" s="34"/>
      <c r="E220" s="34"/>
      <c r="F220" s="34"/>
      <c r="G220" s="34"/>
      <c r="H220" s="34"/>
      <c r="I220" s="34"/>
      <c r="J220" s="34"/>
      <c r="K220" s="34"/>
      <c r="L220" s="34"/>
      <c r="M220" s="35"/>
      <c r="N220" s="34"/>
      <c r="O220" s="34"/>
      <c r="P220" s="34"/>
    </row>
    <row r="221" spans="1:16" ht="30" customHeight="1">
      <c r="A221" s="34"/>
      <c r="B221" s="34"/>
      <c r="C221" s="34"/>
      <c r="D221" s="34"/>
      <c r="E221" s="34"/>
      <c r="F221" s="34"/>
      <c r="G221" s="34"/>
      <c r="H221" s="34"/>
      <c r="I221" s="34"/>
      <c r="J221" s="34"/>
      <c r="K221" s="34"/>
      <c r="L221" s="34"/>
      <c r="M221" s="35"/>
      <c r="N221" s="34"/>
      <c r="O221" s="34"/>
      <c r="P221" s="34"/>
    </row>
    <row r="222" spans="1:16" ht="30" customHeight="1">
      <c r="A222" s="34"/>
      <c r="B222" s="34"/>
      <c r="C222" s="34"/>
      <c r="D222" s="34"/>
      <c r="E222" s="34"/>
      <c r="F222" s="34"/>
      <c r="G222" s="34"/>
      <c r="H222" s="34"/>
      <c r="I222" s="34"/>
      <c r="J222" s="34"/>
      <c r="K222" s="34"/>
      <c r="L222" s="34"/>
      <c r="M222" s="35"/>
      <c r="N222" s="34"/>
      <c r="O222" s="34"/>
      <c r="P222" s="34"/>
    </row>
    <row r="223" spans="1:16" ht="30" customHeight="1">
      <c r="A223" s="34"/>
      <c r="B223" s="34"/>
      <c r="C223" s="34"/>
      <c r="D223" s="34"/>
      <c r="E223" s="34"/>
      <c r="F223" s="34"/>
      <c r="G223" s="34"/>
      <c r="H223" s="34"/>
      <c r="I223" s="34"/>
      <c r="J223" s="34"/>
      <c r="K223" s="34"/>
      <c r="L223" s="34"/>
      <c r="M223" s="35"/>
      <c r="N223" s="34"/>
      <c r="O223" s="34"/>
      <c r="P223" s="34"/>
    </row>
    <row r="224" spans="1:16" ht="30" customHeight="1">
      <c r="A224" s="34"/>
      <c r="B224" s="34"/>
      <c r="C224" s="34"/>
      <c r="D224" s="34"/>
      <c r="E224" s="34"/>
      <c r="F224" s="34"/>
      <c r="G224" s="34"/>
      <c r="H224" s="34"/>
      <c r="I224" s="34"/>
      <c r="J224" s="34"/>
      <c r="K224" s="34"/>
      <c r="L224" s="34"/>
      <c r="M224" s="35"/>
      <c r="N224" s="34"/>
      <c r="O224" s="34"/>
      <c r="P224" s="34"/>
    </row>
    <row r="225" spans="1:16" ht="30" customHeight="1">
      <c r="A225" s="34"/>
      <c r="B225" s="34"/>
      <c r="C225" s="34"/>
      <c r="D225" s="34"/>
      <c r="E225" s="34"/>
      <c r="F225" s="34"/>
      <c r="G225" s="34"/>
      <c r="H225" s="34"/>
      <c r="I225" s="34"/>
      <c r="J225" s="34"/>
      <c r="K225" s="34"/>
      <c r="L225" s="34"/>
      <c r="M225" s="35"/>
      <c r="N225" s="34"/>
      <c r="O225" s="34"/>
      <c r="P225" s="34"/>
    </row>
    <row r="226" spans="1:16" ht="30" customHeight="1">
      <c r="A226" s="34"/>
      <c r="B226" s="34"/>
      <c r="C226" s="34"/>
      <c r="D226" s="34"/>
      <c r="E226" s="34"/>
      <c r="F226" s="34"/>
      <c r="G226" s="34"/>
      <c r="H226" s="34"/>
      <c r="I226" s="34"/>
      <c r="J226" s="34"/>
      <c r="K226" s="34"/>
      <c r="L226" s="34"/>
      <c r="M226" s="35"/>
      <c r="N226" s="34"/>
      <c r="O226" s="34"/>
      <c r="P226" s="34"/>
    </row>
    <row r="227" spans="1:16" ht="30" customHeight="1">
      <c r="A227" s="34"/>
      <c r="B227" s="34"/>
      <c r="C227" s="34"/>
      <c r="D227" s="34"/>
      <c r="E227" s="34"/>
      <c r="F227" s="34"/>
      <c r="G227" s="34"/>
      <c r="H227" s="34"/>
      <c r="I227" s="34"/>
      <c r="J227" s="34"/>
      <c r="K227" s="34"/>
      <c r="L227" s="34"/>
      <c r="M227" s="35"/>
      <c r="N227" s="34"/>
      <c r="O227" s="34"/>
      <c r="P227" s="34"/>
    </row>
    <row r="228" spans="1:16" ht="30" customHeight="1">
      <c r="A228" s="34"/>
      <c r="B228" s="34"/>
      <c r="C228" s="34"/>
      <c r="D228" s="34"/>
      <c r="E228" s="34"/>
      <c r="F228" s="34"/>
      <c r="G228" s="34"/>
      <c r="H228" s="34"/>
      <c r="I228" s="34"/>
      <c r="J228" s="34"/>
      <c r="K228" s="34"/>
      <c r="L228" s="34"/>
      <c r="M228" s="35"/>
      <c r="N228" s="34"/>
      <c r="O228" s="34"/>
      <c r="P228" s="34"/>
    </row>
    <row r="229" spans="1:16" ht="30" customHeight="1">
      <c r="A229" s="34"/>
      <c r="B229" s="34"/>
      <c r="C229" s="34"/>
      <c r="D229" s="34"/>
      <c r="E229" s="34"/>
      <c r="F229" s="34"/>
      <c r="G229" s="34"/>
      <c r="H229" s="34"/>
      <c r="I229" s="34"/>
      <c r="J229" s="34"/>
      <c r="K229" s="34"/>
      <c r="L229" s="34"/>
      <c r="M229" s="35"/>
      <c r="N229" s="34"/>
      <c r="O229" s="34"/>
      <c r="P229" s="34"/>
    </row>
    <row r="230" spans="1:16" ht="30" customHeight="1">
      <c r="A230" s="34"/>
      <c r="B230" s="34"/>
      <c r="C230" s="34"/>
      <c r="D230" s="34"/>
      <c r="E230" s="34"/>
      <c r="F230" s="34"/>
      <c r="G230" s="34"/>
      <c r="H230" s="34"/>
      <c r="I230" s="34"/>
      <c r="J230" s="34"/>
      <c r="K230" s="34"/>
      <c r="L230" s="34"/>
      <c r="M230" s="35"/>
      <c r="N230" s="34"/>
      <c r="O230" s="34"/>
      <c r="P230" s="34"/>
    </row>
    <row r="231" spans="1:16" ht="30" customHeight="1">
      <c r="A231" s="34"/>
      <c r="B231" s="34"/>
      <c r="C231" s="34"/>
      <c r="D231" s="34"/>
      <c r="E231" s="34"/>
      <c r="F231" s="34"/>
      <c r="G231" s="34"/>
      <c r="H231" s="34"/>
      <c r="I231" s="34"/>
      <c r="J231" s="34"/>
      <c r="K231" s="34"/>
      <c r="L231" s="34"/>
      <c r="M231" s="35"/>
      <c r="N231" s="34"/>
      <c r="O231" s="34"/>
      <c r="P231" s="34"/>
    </row>
    <row r="232" spans="1:16" ht="30" customHeight="1">
      <c r="A232" s="34"/>
      <c r="B232" s="34"/>
      <c r="C232" s="34"/>
      <c r="D232" s="34"/>
      <c r="E232" s="34"/>
      <c r="F232" s="34"/>
      <c r="G232" s="34"/>
      <c r="H232" s="34"/>
      <c r="I232" s="34"/>
      <c r="J232" s="34"/>
      <c r="K232" s="34"/>
      <c r="L232" s="34"/>
      <c r="M232" s="35"/>
      <c r="N232" s="34"/>
      <c r="O232" s="34"/>
      <c r="P232" s="34"/>
    </row>
    <row r="233" spans="1:16" ht="30" customHeight="1">
      <c r="A233" s="34"/>
      <c r="B233" s="34"/>
      <c r="C233" s="34"/>
      <c r="D233" s="34"/>
      <c r="E233" s="34"/>
      <c r="F233" s="34"/>
      <c r="G233" s="34"/>
      <c r="H233" s="34"/>
      <c r="I233" s="34"/>
      <c r="J233" s="34"/>
      <c r="K233" s="34"/>
      <c r="L233" s="34"/>
      <c r="M233" s="35"/>
      <c r="N233" s="34"/>
      <c r="O233" s="34"/>
      <c r="P233" s="34"/>
    </row>
    <row r="234" spans="1:16" ht="30" customHeight="1">
      <c r="A234" s="34"/>
      <c r="B234" s="34"/>
      <c r="C234" s="34"/>
      <c r="D234" s="34"/>
      <c r="E234" s="34"/>
      <c r="F234" s="34"/>
      <c r="G234" s="34"/>
      <c r="H234" s="34"/>
      <c r="I234" s="34"/>
      <c r="J234" s="34"/>
      <c r="K234" s="34"/>
      <c r="L234" s="34"/>
      <c r="M234" s="35"/>
      <c r="N234" s="34"/>
      <c r="O234" s="34"/>
      <c r="P234" s="34"/>
    </row>
    <row r="235" spans="1:16" ht="30" customHeight="1">
      <c r="A235" s="34"/>
      <c r="B235" s="34"/>
      <c r="C235" s="34"/>
      <c r="D235" s="34"/>
      <c r="E235" s="34"/>
      <c r="F235" s="34"/>
      <c r="G235" s="34"/>
      <c r="H235" s="34"/>
      <c r="I235" s="34"/>
      <c r="J235" s="34"/>
      <c r="K235" s="34"/>
      <c r="L235" s="34"/>
      <c r="M235" s="35"/>
      <c r="N235" s="34"/>
      <c r="O235" s="34"/>
      <c r="P235" s="34"/>
    </row>
    <row r="236" spans="1:16" ht="30" customHeight="1">
      <c r="A236" s="34"/>
      <c r="B236" s="34"/>
      <c r="C236" s="34"/>
      <c r="D236" s="34"/>
      <c r="E236" s="34"/>
      <c r="F236" s="34"/>
      <c r="G236" s="34"/>
      <c r="H236" s="34"/>
      <c r="I236" s="34"/>
      <c r="J236" s="34"/>
      <c r="K236" s="34"/>
      <c r="L236" s="34"/>
      <c r="M236" s="35"/>
      <c r="N236" s="34"/>
      <c r="O236" s="34"/>
      <c r="P236" s="34"/>
    </row>
    <row r="237" spans="1:16" ht="30" customHeight="1">
      <c r="A237" s="34"/>
      <c r="B237" s="34"/>
      <c r="C237" s="34"/>
      <c r="D237" s="34"/>
      <c r="E237" s="34"/>
      <c r="F237" s="34"/>
      <c r="G237" s="34"/>
      <c r="H237" s="34"/>
      <c r="I237" s="34"/>
      <c r="J237" s="34"/>
      <c r="K237" s="34"/>
      <c r="L237" s="34"/>
      <c r="M237" s="35"/>
      <c r="N237" s="34"/>
      <c r="O237" s="34"/>
      <c r="P237" s="34"/>
    </row>
    <row r="238" spans="1:16" ht="30" customHeight="1">
      <c r="A238" s="34"/>
      <c r="B238" s="34"/>
      <c r="C238" s="34"/>
      <c r="D238" s="34"/>
      <c r="E238" s="34"/>
      <c r="F238" s="34"/>
      <c r="G238" s="34"/>
      <c r="H238" s="34"/>
      <c r="I238" s="34"/>
      <c r="J238" s="34"/>
      <c r="K238" s="34"/>
      <c r="L238" s="34"/>
      <c r="M238" s="35"/>
      <c r="N238" s="34"/>
      <c r="O238" s="34"/>
      <c r="P238" s="34"/>
    </row>
    <row r="239" spans="1:16" ht="30" customHeight="1">
      <c r="A239" s="34"/>
      <c r="B239" s="34"/>
      <c r="C239" s="34"/>
      <c r="D239" s="34"/>
      <c r="E239" s="34"/>
      <c r="F239" s="34"/>
      <c r="G239" s="34"/>
      <c r="H239" s="34"/>
      <c r="I239" s="34"/>
      <c r="J239" s="34"/>
      <c r="K239" s="34"/>
      <c r="L239" s="34"/>
      <c r="M239" s="35"/>
      <c r="N239" s="34"/>
      <c r="O239" s="34"/>
      <c r="P239" s="34"/>
    </row>
    <row r="240" spans="1:16" ht="30" customHeight="1">
      <c r="A240" s="34"/>
      <c r="B240" s="34"/>
      <c r="C240" s="34"/>
      <c r="D240" s="34"/>
      <c r="E240" s="34"/>
      <c r="F240" s="34"/>
      <c r="G240" s="34"/>
      <c r="H240" s="34"/>
      <c r="I240" s="34"/>
      <c r="J240" s="34"/>
      <c r="K240" s="34"/>
      <c r="L240" s="34"/>
      <c r="M240" s="35"/>
      <c r="N240" s="34"/>
      <c r="O240" s="34"/>
      <c r="P240" s="34"/>
    </row>
    <row r="241" spans="1:16" ht="30" customHeight="1">
      <c r="A241" s="34"/>
      <c r="B241" s="34"/>
      <c r="C241" s="34"/>
      <c r="D241" s="34"/>
      <c r="E241" s="34"/>
      <c r="F241" s="34"/>
      <c r="G241" s="34"/>
      <c r="H241" s="34"/>
      <c r="I241" s="34"/>
      <c r="J241" s="34"/>
      <c r="K241" s="34"/>
      <c r="L241" s="34"/>
      <c r="M241" s="35"/>
      <c r="N241" s="34"/>
      <c r="O241" s="34"/>
      <c r="P241" s="34"/>
    </row>
    <row r="242" spans="1:16" ht="30" customHeight="1">
      <c r="A242" s="34"/>
      <c r="B242" s="34"/>
      <c r="C242" s="34"/>
      <c r="D242" s="34"/>
      <c r="E242" s="34"/>
      <c r="F242" s="34"/>
      <c r="G242" s="34"/>
      <c r="H242" s="34"/>
      <c r="I242" s="34"/>
      <c r="J242" s="34"/>
      <c r="K242" s="34"/>
      <c r="L242" s="34"/>
      <c r="M242" s="35"/>
      <c r="N242" s="34"/>
      <c r="O242" s="34"/>
      <c r="P242" s="34"/>
    </row>
    <row r="243" spans="1:16" ht="30" customHeight="1">
      <c r="A243" s="34"/>
      <c r="B243" s="34"/>
      <c r="C243" s="34"/>
      <c r="D243" s="34"/>
      <c r="E243" s="34"/>
      <c r="F243" s="34"/>
      <c r="G243" s="34"/>
      <c r="H243" s="34"/>
      <c r="I243" s="34"/>
      <c r="J243" s="34"/>
      <c r="K243" s="34"/>
      <c r="L243" s="34"/>
      <c r="M243" s="35"/>
      <c r="N243" s="34"/>
      <c r="O243" s="34"/>
      <c r="P243" s="34"/>
    </row>
    <row r="244" spans="1:16" ht="30" customHeight="1">
      <c r="A244" s="34"/>
      <c r="B244" s="34"/>
      <c r="C244" s="34"/>
      <c r="D244" s="34"/>
      <c r="E244" s="34"/>
      <c r="F244" s="34"/>
      <c r="G244" s="34"/>
      <c r="H244" s="34"/>
      <c r="I244" s="34"/>
      <c r="J244" s="34"/>
      <c r="K244" s="34"/>
      <c r="L244" s="34"/>
      <c r="M244" s="35"/>
      <c r="N244" s="34"/>
      <c r="O244" s="34"/>
      <c r="P244" s="34"/>
    </row>
    <row r="245" spans="1:16" ht="30" customHeight="1">
      <c r="A245" s="34"/>
      <c r="B245" s="34"/>
      <c r="C245" s="34"/>
      <c r="D245" s="34"/>
      <c r="E245" s="34"/>
      <c r="F245" s="34"/>
      <c r="G245" s="34"/>
      <c r="H245" s="34"/>
      <c r="I245" s="34"/>
      <c r="J245" s="34"/>
      <c r="K245" s="34"/>
      <c r="L245" s="34"/>
      <c r="M245" s="35"/>
      <c r="N245" s="34"/>
      <c r="O245" s="34"/>
      <c r="P245" s="34"/>
    </row>
    <row r="246" spans="1:16" ht="30" customHeight="1">
      <c r="A246" s="34"/>
      <c r="B246" s="34"/>
      <c r="C246" s="34"/>
      <c r="D246" s="34"/>
      <c r="E246" s="34"/>
      <c r="F246" s="34"/>
      <c r="G246" s="34"/>
      <c r="H246" s="34"/>
      <c r="I246" s="34"/>
      <c r="J246" s="34"/>
      <c r="K246" s="34"/>
      <c r="L246" s="34"/>
      <c r="M246" s="35"/>
      <c r="N246" s="34"/>
      <c r="O246" s="34"/>
      <c r="P246" s="34"/>
    </row>
    <row r="247" spans="1:16" ht="30" customHeight="1">
      <c r="A247" s="34"/>
      <c r="B247" s="34"/>
      <c r="C247" s="34"/>
      <c r="D247" s="34"/>
      <c r="E247" s="34"/>
      <c r="F247" s="34"/>
      <c r="G247" s="34"/>
      <c r="H247" s="34"/>
      <c r="I247" s="34"/>
      <c r="J247" s="34"/>
      <c r="K247" s="34"/>
      <c r="L247" s="34"/>
      <c r="M247" s="35"/>
      <c r="N247" s="34"/>
      <c r="O247" s="34"/>
      <c r="P247" s="34"/>
    </row>
    <row r="248" spans="1:16" ht="30" customHeight="1">
      <c r="A248" s="34"/>
      <c r="B248" s="34"/>
      <c r="C248" s="34"/>
      <c r="D248" s="34"/>
      <c r="E248" s="34"/>
      <c r="F248" s="34"/>
      <c r="G248" s="34"/>
      <c r="H248" s="34"/>
      <c r="I248" s="34"/>
      <c r="J248" s="34"/>
      <c r="K248" s="34"/>
      <c r="L248" s="34"/>
      <c r="M248" s="35"/>
      <c r="N248" s="34"/>
      <c r="O248" s="34"/>
      <c r="P248" s="34"/>
    </row>
    <row r="249" spans="1:16" ht="30" customHeight="1">
      <c r="A249" s="34"/>
      <c r="B249" s="34"/>
      <c r="C249" s="34"/>
      <c r="D249" s="34"/>
      <c r="E249" s="34"/>
      <c r="F249" s="34"/>
      <c r="G249" s="34"/>
      <c r="H249" s="34"/>
      <c r="I249" s="34"/>
      <c r="J249" s="34"/>
      <c r="K249" s="34"/>
      <c r="L249" s="34"/>
      <c r="M249" s="35"/>
      <c r="N249" s="34"/>
      <c r="O249" s="34"/>
      <c r="P249" s="34"/>
    </row>
    <row r="250" spans="1:16" ht="30" customHeight="1">
      <c r="A250" s="34"/>
      <c r="B250" s="34"/>
      <c r="C250" s="34"/>
      <c r="D250" s="34"/>
      <c r="E250" s="34"/>
      <c r="F250" s="34"/>
      <c r="G250" s="34"/>
      <c r="H250" s="34"/>
      <c r="I250" s="34"/>
      <c r="J250" s="34"/>
      <c r="K250" s="34"/>
      <c r="L250" s="34"/>
      <c r="M250" s="35"/>
      <c r="N250" s="34"/>
      <c r="O250" s="34"/>
      <c r="P250" s="34"/>
    </row>
    <row r="251" spans="1:16" ht="30" customHeight="1">
      <c r="A251" s="34"/>
      <c r="B251" s="34"/>
      <c r="C251" s="34"/>
      <c r="D251" s="34"/>
      <c r="E251" s="34"/>
      <c r="F251" s="34"/>
      <c r="G251" s="34"/>
      <c r="H251" s="34"/>
      <c r="I251" s="34"/>
      <c r="J251" s="34"/>
      <c r="K251" s="34"/>
      <c r="L251" s="34"/>
      <c r="M251" s="35"/>
      <c r="N251" s="34"/>
      <c r="O251" s="34"/>
      <c r="P251" s="34"/>
    </row>
    <row r="252" spans="1:16" ht="30" customHeight="1">
      <c r="A252" s="34"/>
      <c r="B252" s="34"/>
      <c r="C252" s="34"/>
      <c r="D252" s="34"/>
      <c r="E252" s="34"/>
      <c r="F252" s="34"/>
      <c r="G252" s="34"/>
      <c r="H252" s="34"/>
      <c r="I252" s="34"/>
      <c r="J252" s="34"/>
      <c r="K252" s="34"/>
      <c r="L252" s="34"/>
      <c r="M252" s="35"/>
      <c r="N252" s="34"/>
      <c r="O252" s="34"/>
      <c r="P252" s="34"/>
    </row>
    <row r="253" spans="1:16" ht="30" customHeight="1">
      <c r="A253" s="34"/>
      <c r="B253" s="34"/>
      <c r="C253" s="34"/>
      <c r="D253" s="34"/>
      <c r="E253" s="34"/>
      <c r="F253" s="34"/>
      <c r="G253" s="34"/>
      <c r="H253" s="34"/>
      <c r="I253" s="34"/>
      <c r="J253" s="34"/>
      <c r="K253" s="34"/>
      <c r="L253" s="34"/>
      <c r="M253" s="35"/>
      <c r="N253" s="34"/>
      <c r="O253" s="34"/>
      <c r="P253" s="34"/>
    </row>
  </sheetData>
  <autoFilter ref="A3:P253" xr:uid="{00000000-0009-0000-0000-000006000000}"/>
  <mergeCells count="2">
    <mergeCell ref="A1:P1"/>
    <mergeCell ref="A2:P2"/>
  </mergeCells>
  <conditionalFormatting sqref="I55:I253">
    <cfRule type="cellIs" dxfId="27" priority="2" operator="equal">
      <formula>"Pass"</formula>
    </cfRule>
    <cfRule type="cellIs" dxfId="26" priority="3" operator="equal">
      <formula>"Fail"</formula>
    </cfRule>
    <cfRule type="cellIs" dxfId="25" priority="4" operator="equal">
      <formula>"Blocked"</formula>
    </cfRule>
    <cfRule type="cellIs" dxfId="24" priority="5" operator="equal">
      <formula>"In Progress"</formula>
    </cfRule>
    <cfRule type="cellIs" dxfId="23" priority="6" operator="equal">
      <formula>"Not Executed"</formula>
    </cfRule>
    <cfRule type="cellIs" dxfId="22" priority="7" operator="equal">
      <formula>"Retest"</formula>
    </cfRule>
  </conditionalFormatting>
  <conditionalFormatting sqref="J55:J253">
    <cfRule type="cellIs" dxfId="21" priority="8" operator="equal">
      <formula>"Critical"</formula>
    </cfRule>
  </conditionalFormatting>
  <dataValidations count="5">
    <dataValidation type="list" allowBlank="1" errorTitle="Invalid Status" error="Please choose a status from the dropdown list." sqref="I55:I253" xr:uid="{00000000-0002-0000-0600-000000000000}">
      <formula1>List_Status</formula1>
      <formula2>0</formula2>
    </dataValidation>
    <dataValidation type="list" allowBlank="1" sqref="J55:J253" xr:uid="{00000000-0002-0000-0600-000001000000}">
      <formula1>List_Severity</formula1>
      <formula2>0</formula2>
    </dataValidation>
    <dataValidation type="list" allowBlank="1" sqref="K55:K253" xr:uid="{00000000-0002-0000-0600-000002000000}">
      <formula1>List_Priority</formula1>
      <formula2>0</formula2>
    </dataValidation>
    <dataValidation type="list" allowBlank="1" sqref="L55:L253" xr:uid="{00000000-0002-0000-0600-000003000000}">
      <formula1>List_Testers</formula1>
      <formula2>0</formula2>
    </dataValidation>
    <dataValidation type="list" allowBlank="1" sqref="N55:N253" xr:uid="{00000000-0002-0000-0600-000004000000}">
      <formula1>List_Environment</formula1>
      <formula2>0</formula2>
    </dataValidation>
  </dataValidations>
  <hyperlinks>
    <hyperlink ref="A2" r:id="rId1" location="'Main%20Dashboard'!A1" xr:uid="{00000000-0004-0000-0600-000000000000}"/>
  </hyperlinks>
  <pageMargins left="0.75" right="0.75" top="1" bottom="1" header="0.511811023622047" footer="0.511811023622047"/>
  <pageSetup paperSize="9" orientation="portrait" horizontalDpi="300" verticalDpi="30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75B6"/>
  </sheetPr>
  <dimension ref="A1:K267"/>
  <sheetViews>
    <sheetView showGridLines="0" tabSelected="1" zoomScaleNormal="100" workbookViewId="0">
      <pane ySplit="1" topLeftCell="A2" activePane="bottomLeft" state="frozen"/>
      <selection pane="bottomLeft" activeCell="K9" sqref="A5:K33"/>
    </sheetView>
  </sheetViews>
  <sheetFormatPr defaultColWidth="8.7109375" defaultRowHeight="15"/>
  <cols>
    <col min="1" max="1" width="13.42578125" bestFit="1" customWidth="1"/>
    <col min="2" max="2" width="23.5703125" bestFit="1" customWidth="1"/>
    <col min="3" max="3" width="52.7109375" bestFit="1" customWidth="1"/>
    <col min="4" max="4" width="82.28515625" bestFit="1" customWidth="1"/>
    <col min="5" max="5" width="99.28515625" bestFit="1" customWidth="1"/>
    <col min="6" max="6" width="156.140625" bestFit="1" customWidth="1"/>
    <col min="7" max="7" width="14.42578125" bestFit="1" customWidth="1"/>
    <col min="8" max="8" width="12.140625" bestFit="1" customWidth="1"/>
    <col min="9" max="9" width="9.28515625" bestFit="1" customWidth="1"/>
    <col min="10" max="10" width="13.42578125" bestFit="1" customWidth="1"/>
    <col min="11" max="11" width="86.5703125" bestFit="1" customWidth="1"/>
  </cols>
  <sheetData>
    <row r="1" spans="1:11" ht="30" customHeight="1"/>
    <row r="2" spans="1:11" ht="30" customHeight="1">
      <c r="A2" s="125" t="s">
        <v>1106</v>
      </c>
      <c r="B2" s="125"/>
      <c r="C2" s="125"/>
      <c r="D2" s="125"/>
      <c r="E2" s="125"/>
      <c r="F2" s="125"/>
      <c r="G2" s="125"/>
      <c r="H2" s="125"/>
      <c r="I2" s="125"/>
      <c r="J2" s="125"/>
      <c r="K2" s="125"/>
    </row>
    <row r="3" spans="1:11" ht="30" customHeight="1">
      <c r="A3" s="107" t="s">
        <v>1107</v>
      </c>
      <c r="B3" s="107"/>
      <c r="C3" s="107"/>
      <c r="D3" s="107"/>
      <c r="E3" s="107"/>
      <c r="F3" s="107"/>
      <c r="G3" s="107"/>
      <c r="H3" s="107"/>
      <c r="I3" s="107"/>
      <c r="J3" s="107"/>
      <c r="K3" s="107"/>
    </row>
    <row r="4" spans="1:11" ht="30" customHeight="1">
      <c r="A4" s="91"/>
      <c r="B4" s="91"/>
      <c r="C4" s="91"/>
      <c r="D4" s="91"/>
      <c r="E4" s="91"/>
      <c r="F4" s="91"/>
      <c r="G4" s="91"/>
      <c r="H4" s="91"/>
      <c r="I4" s="91"/>
      <c r="J4" s="91"/>
      <c r="K4" s="91"/>
    </row>
    <row r="5" spans="1:11" ht="30" customHeight="1">
      <c r="A5" s="92" t="s">
        <v>50</v>
      </c>
      <c r="B5" s="93" t="s">
        <v>53</v>
      </c>
      <c r="C5" s="93" t="s">
        <v>56</v>
      </c>
      <c r="D5" s="93" t="s">
        <v>62</v>
      </c>
      <c r="E5" s="93" t="s">
        <v>59</v>
      </c>
      <c r="F5" s="93" t="s">
        <v>68</v>
      </c>
      <c r="G5" s="93" t="s">
        <v>71</v>
      </c>
      <c r="H5" s="93" t="s">
        <v>74</v>
      </c>
      <c r="I5" s="93" t="s">
        <v>77</v>
      </c>
      <c r="J5" s="93" t="s">
        <v>80</v>
      </c>
      <c r="K5" s="94" t="s">
        <v>95</v>
      </c>
    </row>
    <row r="6" spans="1:11" ht="30" customHeight="1">
      <c r="A6" s="95" t="s">
        <v>1108</v>
      </c>
      <c r="B6" s="96" t="s">
        <v>836</v>
      </c>
      <c r="C6" s="96" t="s">
        <v>1109</v>
      </c>
      <c r="D6" s="96" t="s">
        <v>1110</v>
      </c>
      <c r="E6" s="96" t="s">
        <v>1111</v>
      </c>
      <c r="F6" s="96" t="s">
        <v>1112</v>
      </c>
      <c r="G6" s="96" t="s">
        <v>172</v>
      </c>
      <c r="H6" s="96" t="s">
        <v>1113</v>
      </c>
      <c r="I6" s="96" t="s">
        <v>115</v>
      </c>
      <c r="J6" s="96" t="s">
        <v>129</v>
      </c>
      <c r="K6" s="97" t="s">
        <v>172</v>
      </c>
    </row>
    <row r="7" spans="1:11" ht="30" customHeight="1">
      <c r="A7" s="98" t="s">
        <v>1114</v>
      </c>
      <c r="B7" s="99" t="s">
        <v>1115</v>
      </c>
      <c r="C7" s="99" t="s">
        <v>1116</v>
      </c>
      <c r="D7" s="99" t="s">
        <v>1117</v>
      </c>
      <c r="E7" s="99" t="s">
        <v>1118</v>
      </c>
      <c r="F7" s="99" t="s">
        <v>1119</v>
      </c>
      <c r="G7" s="99" t="s">
        <v>172</v>
      </c>
      <c r="H7" s="99" t="s">
        <v>1113</v>
      </c>
      <c r="I7" s="99" t="s">
        <v>115</v>
      </c>
      <c r="J7" s="99" t="s">
        <v>129</v>
      </c>
      <c r="K7" s="100" t="s">
        <v>172</v>
      </c>
    </row>
    <row r="8" spans="1:11" ht="30" customHeight="1">
      <c r="A8" s="101" t="s">
        <v>1120</v>
      </c>
      <c r="B8" s="102" t="s">
        <v>1115</v>
      </c>
      <c r="C8" s="102" t="s">
        <v>1121</v>
      </c>
      <c r="D8" s="102" t="s">
        <v>1122</v>
      </c>
      <c r="E8" s="102" t="s">
        <v>1123</v>
      </c>
      <c r="F8" s="102" t="s">
        <v>1124</v>
      </c>
      <c r="G8" s="102" t="s">
        <v>172</v>
      </c>
      <c r="H8" s="102" t="s">
        <v>1113</v>
      </c>
      <c r="I8" s="102" t="s">
        <v>117</v>
      </c>
      <c r="J8" s="102" t="s">
        <v>145</v>
      </c>
      <c r="K8" s="103" t="s">
        <v>172</v>
      </c>
    </row>
    <row r="9" spans="1:11" ht="30" customHeight="1">
      <c r="A9" s="98" t="s">
        <v>1125</v>
      </c>
      <c r="B9" s="99" t="s">
        <v>1115</v>
      </c>
      <c r="C9" s="99" t="s">
        <v>1126</v>
      </c>
      <c r="D9" s="99" t="s">
        <v>1127</v>
      </c>
      <c r="E9" s="99" t="s">
        <v>1128</v>
      </c>
      <c r="F9" s="99" t="s">
        <v>1129</v>
      </c>
      <c r="G9" s="99" t="s">
        <v>172</v>
      </c>
      <c r="H9" s="99" t="s">
        <v>1113</v>
      </c>
      <c r="I9" s="99" t="s">
        <v>115</v>
      </c>
      <c r="J9" s="99" t="s">
        <v>129</v>
      </c>
      <c r="K9" s="100" t="s">
        <v>172</v>
      </c>
    </row>
    <row r="10" spans="1:11" ht="30" customHeight="1">
      <c r="A10" s="101" t="s">
        <v>1130</v>
      </c>
      <c r="B10" s="102" t="s">
        <v>1115</v>
      </c>
      <c r="C10" s="102" t="s">
        <v>1131</v>
      </c>
      <c r="D10" s="102" t="s">
        <v>1132</v>
      </c>
      <c r="E10" s="102" t="s">
        <v>1133</v>
      </c>
      <c r="F10" s="102" t="s">
        <v>1134</v>
      </c>
      <c r="G10" s="102" t="s">
        <v>172</v>
      </c>
      <c r="H10" s="102" t="s">
        <v>1113</v>
      </c>
      <c r="I10" s="102" t="s">
        <v>115</v>
      </c>
      <c r="J10" s="102" t="s">
        <v>129</v>
      </c>
      <c r="K10" s="103" t="s">
        <v>172</v>
      </c>
    </row>
    <row r="11" spans="1:11" ht="30" customHeight="1">
      <c r="A11" s="98" t="s">
        <v>1135</v>
      </c>
      <c r="B11" s="99" t="s">
        <v>1115</v>
      </c>
      <c r="C11" s="99" t="s">
        <v>1136</v>
      </c>
      <c r="D11" s="99" t="s">
        <v>1137</v>
      </c>
      <c r="E11" s="99" t="s">
        <v>1138</v>
      </c>
      <c r="F11" s="99" t="s">
        <v>1139</v>
      </c>
      <c r="G11" s="99" t="s">
        <v>172</v>
      </c>
      <c r="H11" s="99" t="s">
        <v>1113</v>
      </c>
      <c r="I11" s="99" t="s">
        <v>115</v>
      </c>
      <c r="J11" s="99" t="s">
        <v>129</v>
      </c>
      <c r="K11" s="100" t="s">
        <v>172</v>
      </c>
    </row>
    <row r="12" spans="1:11" ht="30" customHeight="1">
      <c r="A12" s="101" t="s">
        <v>1140</v>
      </c>
      <c r="B12" s="102" t="s">
        <v>1115</v>
      </c>
      <c r="C12" s="102" t="s">
        <v>1141</v>
      </c>
      <c r="D12" s="102" t="s">
        <v>1142</v>
      </c>
      <c r="E12" s="102" t="s">
        <v>1143</v>
      </c>
      <c r="F12" s="102" t="s">
        <v>1144</v>
      </c>
      <c r="G12" s="102" t="s">
        <v>172</v>
      </c>
      <c r="H12" s="102" t="s">
        <v>1113</v>
      </c>
      <c r="I12" s="102" t="s">
        <v>113</v>
      </c>
      <c r="J12" s="102" t="s">
        <v>180</v>
      </c>
      <c r="K12" s="103" t="s">
        <v>1145</v>
      </c>
    </row>
    <row r="13" spans="1:11" ht="30" customHeight="1">
      <c r="A13" s="98" t="s">
        <v>1146</v>
      </c>
      <c r="B13" s="99" t="s">
        <v>1147</v>
      </c>
      <c r="C13" s="99" t="s">
        <v>1148</v>
      </c>
      <c r="D13" s="99" t="s">
        <v>1149</v>
      </c>
      <c r="E13" s="99" t="s">
        <v>1150</v>
      </c>
      <c r="F13" s="99" t="s">
        <v>1151</v>
      </c>
      <c r="G13" s="99" t="s">
        <v>172</v>
      </c>
      <c r="H13" s="99" t="s">
        <v>1113</v>
      </c>
      <c r="I13" s="99" t="s">
        <v>113</v>
      </c>
      <c r="J13" s="99" t="s">
        <v>180</v>
      </c>
      <c r="K13" s="100" t="s">
        <v>172</v>
      </c>
    </row>
    <row r="14" spans="1:11" ht="30" customHeight="1">
      <c r="A14" s="101" t="s">
        <v>1152</v>
      </c>
      <c r="B14" s="102" t="s">
        <v>1153</v>
      </c>
      <c r="C14" s="102" t="s">
        <v>1154</v>
      </c>
      <c r="D14" s="102" t="s">
        <v>1155</v>
      </c>
      <c r="E14" s="102" t="s">
        <v>1156</v>
      </c>
      <c r="F14" s="102" t="s">
        <v>1157</v>
      </c>
      <c r="G14" s="102" t="s">
        <v>172</v>
      </c>
      <c r="H14" s="102" t="s">
        <v>1113</v>
      </c>
      <c r="I14" s="102" t="s">
        <v>113</v>
      </c>
      <c r="J14" s="102" t="s">
        <v>180</v>
      </c>
      <c r="K14" s="103" t="s">
        <v>172</v>
      </c>
    </row>
    <row r="15" spans="1:11" ht="30" customHeight="1">
      <c r="A15" s="98" t="s">
        <v>1158</v>
      </c>
      <c r="B15" s="99" t="s">
        <v>1153</v>
      </c>
      <c r="C15" s="99" t="s">
        <v>1159</v>
      </c>
      <c r="D15" s="99" t="s">
        <v>1160</v>
      </c>
      <c r="E15" s="99" t="s">
        <v>1161</v>
      </c>
      <c r="F15" s="99" t="s">
        <v>1162</v>
      </c>
      <c r="G15" s="99" t="s">
        <v>172</v>
      </c>
      <c r="H15" s="99" t="s">
        <v>1113</v>
      </c>
      <c r="I15" s="99" t="s">
        <v>113</v>
      </c>
      <c r="J15" s="99" t="s">
        <v>180</v>
      </c>
      <c r="K15" s="100" t="s">
        <v>172</v>
      </c>
    </row>
    <row r="16" spans="1:11" ht="30" customHeight="1">
      <c r="A16" s="101" t="s">
        <v>1163</v>
      </c>
      <c r="B16" s="102" t="s">
        <v>1153</v>
      </c>
      <c r="C16" s="102" t="s">
        <v>1164</v>
      </c>
      <c r="D16" s="102" t="s">
        <v>1165</v>
      </c>
      <c r="E16" s="102" t="s">
        <v>1166</v>
      </c>
      <c r="F16" s="102" t="s">
        <v>1167</v>
      </c>
      <c r="G16" s="102" t="s">
        <v>172</v>
      </c>
      <c r="H16" s="102" t="s">
        <v>1113</v>
      </c>
      <c r="I16" s="102" t="s">
        <v>113</v>
      </c>
      <c r="J16" s="102" t="s">
        <v>180</v>
      </c>
      <c r="K16" s="103" t="s">
        <v>172</v>
      </c>
    </row>
    <row r="17" spans="1:11" ht="30" customHeight="1">
      <c r="A17" s="98" t="s">
        <v>1168</v>
      </c>
      <c r="B17" s="99" t="s">
        <v>1153</v>
      </c>
      <c r="C17" s="99" t="s">
        <v>1169</v>
      </c>
      <c r="D17" s="99" t="s">
        <v>1170</v>
      </c>
      <c r="E17" s="99" t="s">
        <v>1171</v>
      </c>
      <c r="F17" s="99" t="s">
        <v>1172</v>
      </c>
      <c r="G17" s="99" t="s">
        <v>172</v>
      </c>
      <c r="H17" s="99" t="s">
        <v>1113</v>
      </c>
      <c r="I17" s="99" t="s">
        <v>115</v>
      </c>
      <c r="J17" s="99" t="s">
        <v>129</v>
      </c>
      <c r="K17" s="100" t="s">
        <v>172</v>
      </c>
    </row>
    <row r="18" spans="1:11" ht="30" customHeight="1">
      <c r="A18" s="101" t="s">
        <v>1173</v>
      </c>
      <c r="B18" s="102" t="s">
        <v>1174</v>
      </c>
      <c r="C18" s="102" t="s">
        <v>1175</v>
      </c>
      <c r="D18" s="102" t="s">
        <v>1110</v>
      </c>
      <c r="E18" s="102" t="s">
        <v>1176</v>
      </c>
      <c r="F18" s="102" t="s">
        <v>1177</v>
      </c>
      <c r="G18" s="102" t="s">
        <v>172</v>
      </c>
      <c r="H18" s="102" t="s">
        <v>1113</v>
      </c>
      <c r="I18" s="102" t="s">
        <v>115</v>
      </c>
      <c r="J18" s="102" t="s">
        <v>129</v>
      </c>
      <c r="K18" s="103" t="s">
        <v>172</v>
      </c>
    </row>
    <row r="19" spans="1:11" ht="30" customHeight="1">
      <c r="A19" s="98" t="s">
        <v>1178</v>
      </c>
      <c r="B19" s="99" t="s">
        <v>1174</v>
      </c>
      <c r="C19" s="99" t="s">
        <v>1179</v>
      </c>
      <c r="D19" s="99" t="s">
        <v>1180</v>
      </c>
      <c r="E19" s="99" t="s">
        <v>1181</v>
      </c>
      <c r="F19" s="99" t="s">
        <v>1182</v>
      </c>
      <c r="G19" s="99" t="s">
        <v>172</v>
      </c>
      <c r="H19" s="99" t="s">
        <v>1113</v>
      </c>
      <c r="I19" s="99" t="s">
        <v>113</v>
      </c>
      <c r="J19" s="99" t="s">
        <v>129</v>
      </c>
      <c r="K19" s="100" t="s">
        <v>1183</v>
      </c>
    </row>
    <row r="20" spans="1:11" ht="30" customHeight="1">
      <c r="A20" s="101" t="s">
        <v>1184</v>
      </c>
      <c r="B20" s="102" t="s">
        <v>1174</v>
      </c>
      <c r="C20" s="102" t="s">
        <v>1185</v>
      </c>
      <c r="D20" s="102" t="s">
        <v>1186</v>
      </c>
      <c r="E20" s="102" t="s">
        <v>1187</v>
      </c>
      <c r="F20" s="102" t="s">
        <v>1188</v>
      </c>
      <c r="G20" s="102" t="s">
        <v>172</v>
      </c>
      <c r="H20" s="102" t="s">
        <v>1113</v>
      </c>
      <c r="I20" s="102" t="s">
        <v>113</v>
      </c>
      <c r="J20" s="102" t="s">
        <v>180</v>
      </c>
      <c r="K20" s="103" t="s">
        <v>172</v>
      </c>
    </row>
    <row r="21" spans="1:11" ht="30" customHeight="1">
      <c r="A21" s="98" t="s">
        <v>1189</v>
      </c>
      <c r="B21" s="99" t="s">
        <v>1174</v>
      </c>
      <c r="C21" s="99" t="s">
        <v>1190</v>
      </c>
      <c r="D21" s="99" t="s">
        <v>1191</v>
      </c>
      <c r="E21" s="99" t="s">
        <v>1192</v>
      </c>
      <c r="F21" s="99" t="s">
        <v>1193</v>
      </c>
      <c r="G21" s="99" t="s">
        <v>172</v>
      </c>
      <c r="H21" s="99" t="s">
        <v>1113</v>
      </c>
      <c r="I21" s="99" t="s">
        <v>115</v>
      </c>
      <c r="J21" s="99" t="s">
        <v>129</v>
      </c>
      <c r="K21" s="100" t="s">
        <v>172</v>
      </c>
    </row>
    <row r="22" spans="1:11" ht="30" customHeight="1">
      <c r="A22" s="101" t="s">
        <v>1194</v>
      </c>
      <c r="B22" s="102" t="s">
        <v>1174</v>
      </c>
      <c r="C22" s="102" t="s">
        <v>1195</v>
      </c>
      <c r="D22" s="102" t="s">
        <v>1191</v>
      </c>
      <c r="E22" s="102" t="s">
        <v>1196</v>
      </c>
      <c r="F22" s="102" t="s">
        <v>1197</v>
      </c>
      <c r="G22" s="102" t="s">
        <v>172</v>
      </c>
      <c r="H22" s="102" t="s">
        <v>1113</v>
      </c>
      <c r="I22" s="102" t="s">
        <v>115</v>
      </c>
      <c r="J22" s="102" t="s">
        <v>145</v>
      </c>
      <c r="K22" s="103" t="s">
        <v>172</v>
      </c>
    </row>
    <row r="23" spans="1:11" ht="30" customHeight="1">
      <c r="A23" s="98" t="s">
        <v>1198</v>
      </c>
      <c r="B23" s="99" t="s">
        <v>1174</v>
      </c>
      <c r="C23" s="99" t="s">
        <v>1199</v>
      </c>
      <c r="D23" s="99" t="s">
        <v>1200</v>
      </c>
      <c r="E23" s="99" t="s">
        <v>1201</v>
      </c>
      <c r="F23" s="99" t="s">
        <v>1202</v>
      </c>
      <c r="G23" s="99" t="s">
        <v>172</v>
      </c>
      <c r="H23" s="99" t="s">
        <v>1113</v>
      </c>
      <c r="I23" s="99" t="s">
        <v>115</v>
      </c>
      <c r="J23" s="99" t="s">
        <v>129</v>
      </c>
      <c r="K23" s="100" t="s">
        <v>1203</v>
      </c>
    </row>
    <row r="24" spans="1:11" ht="30" customHeight="1">
      <c r="A24" s="101" t="s">
        <v>1204</v>
      </c>
      <c r="B24" s="102" t="s">
        <v>1205</v>
      </c>
      <c r="C24" s="102" t="s">
        <v>1206</v>
      </c>
      <c r="D24" s="102" t="s">
        <v>1207</v>
      </c>
      <c r="E24" s="102" t="s">
        <v>1208</v>
      </c>
      <c r="F24" s="102" t="s">
        <v>1209</v>
      </c>
      <c r="G24" s="102" t="s">
        <v>172</v>
      </c>
      <c r="H24" s="102" t="s">
        <v>1113</v>
      </c>
      <c r="I24" s="102" t="s">
        <v>115</v>
      </c>
      <c r="J24" s="102" t="s">
        <v>129</v>
      </c>
      <c r="K24" s="103" t="s">
        <v>172</v>
      </c>
    </row>
    <row r="25" spans="1:11" ht="30" customHeight="1">
      <c r="A25" s="98" t="s">
        <v>1210</v>
      </c>
      <c r="B25" s="99" t="s">
        <v>1205</v>
      </c>
      <c r="C25" s="99" t="s">
        <v>1211</v>
      </c>
      <c r="D25" s="99" t="s">
        <v>1212</v>
      </c>
      <c r="E25" s="99" t="s">
        <v>1213</v>
      </c>
      <c r="F25" s="99" t="s">
        <v>1214</v>
      </c>
      <c r="G25" s="99" t="s">
        <v>172</v>
      </c>
      <c r="H25" s="99" t="s">
        <v>1113</v>
      </c>
      <c r="I25" s="99" t="s">
        <v>113</v>
      </c>
      <c r="J25" s="99" t="s">
        <v>180</v>
      </c>
      <c r="K25" s="100" t="s">
        <v>172</v>
      </c>
    </row>
    <row r="26" spans="1:11" ht="30" customHeight="1">
      <c r="A26" s="101" t="s">
        <v>1215</v>
      </c>
      <c r="B26" s="102" t="s">
        <v>1205</v>
      </c>
      <c r="C26" s="102" t="s">
        <v>1216</v>
      </c>
      <c r="D26" s="102" t="s">
        <v>1217</v>
      </c>
      <c r="E26" s="102" t="s">
        <v>1218</v>
      </c>
      <c r="F26" s="102" t="s">
        <v>1219</v>
      </c>
      <c r="G26" s="102" t="s">
        <v>172</v>
      </c>
      <c r="H26" s="102" t="s">
        <v>1113</v>
      </c>
      <c r="I26" s="102" t="s">
        <v>115</v>
      </c>
      <c r="J26" s="102" t="s">
        <v>129</v>
      </c>
      <c r="K26" s="103" t="s">
        <v>172</v>
      </c>
    </row>
    <row r="27" spans="1:11" ht="30" customHeight="1">
      <c r="A27" s="98" t="s">
        <v>1220</v>
      </c>
      <c r="B27" s="99" t="s">
        <v>1221</v>
      </c>
      <c r="C27" s="99" t="s">
        <v>1222</v>
      </c>
      <c r="D27" s="99" t="s">
        <v>1223</v>
      </c>
      <c r="E27" s="99" t="s">
        <v>1224</v>
      </c>
      <c r="F27" s="99" t="s">
        <v>1225</v>
      </c>
      <c r="G27" s="99" t="s">
        <v>172</v>
      </c>
      <c r="H27" s="99" t="s">
        <v>1113</v>
      </c>
      <c r="I27" s="99" t="s">
        <v>111</v>
      </c>
      <c r="J27" s="99" t="s">
        <v>180</v>
      </c>
      <c r="K27" s="100" t="s">
        <v>1226</v>
      </c>
    </row>
    <row r="28" spans="1:11" ht="30" customHeight="1">
      <c r="A28" s="101" t="s">
        <v>1227</v>
      </c>
      <c r="B28" s="102" t="s">
        <v>1221</v>
      </c>
      <c r="C28" s="102" t="s">
        <v>1228</v>
      </c>
      <c r="D28" s="102" t="s">
        <v>1229</v>
      </c>
      <c r="E28" s="102" t="s">
        <v>1230</v>
      </c>
      <c r="F28" s="102" t="s">
        <v>1231</v>
      </c>
      <c r="G28" s="102" t="s">
        <v>172</v>
      </c>
      <c r="H28" s="102" t="s">
        <v>1113</v>
      </c>
      <c r="I28" s="102" t="s">
        <v>111</v>
      </c>
      <c r="J28" s="102" t="s">
        <v>180</v>
      </c>
      <c r="K28" s="103" t="s">
        <v>172</v>
      </c>
    </row>
    <row r="29" spans="1:11" ht="30" customHeight="1">
      <c r="A29" s="98" t="s">
        <v>1232</v>
      </c>
      <c r="B29" s="99" t="s">
        <v>1221</v>
      </c>
      <c r="C29" s="99" t="s">
        <v>1233</v>
      </c>
      <c r="D29" s="99" t="s">
        <v>1234</v>
      </c>
      <c r="E29" s="99" t="s">
        <v>1235</v>
      </c>
      <c r="F29" s="99" t="s">
        <v>1236</v>
      </c>
      <c r="G29" s="99" t="s">
        <v>172</v>
      </c>
      <c r="H29" s="99" t="s">
        <v>1113</v>
      </c>
      <c r="I29" s="99" t="s">
        <v>111</v>
      </c>
      <c r="J29" s="99" t="s">
        <v>180</v>
      </c>
      <c r="K29" s="100" t="s">
        <v>1237</v>
      </c>
    </row>
    <row r="30" spans="1:11" ht="30" customHeight="1">
      <c r="A30" s="101" t="s">
        <v>1238</v>
      </c>
      <c r="B30" s="102" t="s">
        <v>1239</v>
      </c>
      <c r="C30" s="102" t="s">
        <v>1240</v>
      </c>
      <c r="D30" s="102" t="s">
        <v>1241</v>
      </c>
      <c r="E30" s="102" t="s">
        <v>1242</v>
      </c>
      <c r="F30" s="102" t="s">
        <v>1243</v>
      </c>
      <c r="G30" s="102" t="s">
        <v>172</v>
      </c>
      <c r="H30" s="102" t="s">
        <v>1113</v>
      </c>
      <c r="I30" s="102" t="s">
        <v>115</v>
      </c>
      <c r="J30" s="102" t="s">
        <v>129</v>
      </c>
      <c r="K30" s="103" t="s">
        <v>172</v>
      </c>
    </row>
    <row r="31" spans="1:11" ht="30" customHeight="1">
      <c r="A31" s="98" t="s">
        <v>1244</v>
      </c>
      <c r="B31" s="99" t="s">
        <v>1239</v>
      </c>
      <c r="C31" s="99" t="s">
        <v>1245</v>
      </c>
      <c r="D31" s="99" t="s">
        <v>1246</v>
      </c>
      <c r="E31" s="99" t="s">
        <v>1247</v>
      </c>
      <c r="F31" s="99" t="s">
        <v>1248</v>
      </c>
      <c r="G31" s="99" t="s">
        <v>172</v>
      </c>
      <c r="H31" s="99" t="s">
        <v>1113</v>
      </c>
      <c r="I31" s="99" t="s">
        <v>113</v>
      </c>
      <c r="J31" s="99" t="s">
        <v>180</v>
      </c>
      <c r="K31" s="100" t="s">
        <v>172</v>
      </c>
    </row>
    <row r="32" spans="1:11" ht="30" customHeight="1">
      <c r="A32" s="101" t="s">
        <v>1249</v>
      </c>
      <c r="B32" s="102" t="s">
        <v>1250</v>
      </c>
      <c r="C32" s="102" t="s">
        <v>1251</v>
      </c>
      <c r="D32" s="102" t="s">
        <v>1252</v>
      </c>
      <c r="E32" s="102" t="s">
        <v>1253</v>
      </c>
      <c r="F32" s="102" t="s">
        <v>1254</v>
      </c>
      <c r="G32" s="102" t="s">
        <v>172</v>
      </c>
      <c r="H32" s="102" t="s">
        <v>1113</v>
      </c>
      <c r="I32" s="102" t="s">
        <v>113</v>
      </c>
      <c r="J32" s="102" t="s">
        <v>180</v>
      </c>
      <c r="K32" s="103" t="s">
        <v>172</v>
      </c>
    </row>
    <row r="33" spans="1:11" ht="30" customHeight="1">
      <c r="A33" s="104" t="s">
        <v>1255</v>
      </c>
      <c r="B33" s="105" t="s">
        <v>1256</v>
      </c>
      <c r="C33" s="105" t="s">
        <v>1257</v>
      </c>
      <c r="D33" s="105" t="s">
        <v>1258</v>
      </c>
      <c r="E33" s="105" t="s">
        <v>1259</v>
      </c>
      <c r="F33" s="105" t="s">
        <v>1260</v>
      </c>
      <c r="G33" s="105" t="s">
        <v>172</v>
      </c>
      <c r="H33" s="105" t="s">
        <v>1113</v>
      </c>
      <c r="I33" s="105" t="s">
        <v>115</v>
      </c>
      <c r="J33" s="105" t="s">
        <v>145</v>
      </c>
      <c r="K33" s="106" t="s">
        <v>1261</v>
      </c>
    </row>
    <row r="34" spans="1:11" ht="30" customHeight="1"/>
    <row r="35" spans="1:11" ht="30" customHeight="1"/>
    <row r="36" spans="1:11" ht="30" customHeight="1"/>
    <row r="37" spans="1:11" ht="30" customHeight="1"/>
    <row r="38" spans="1:11" ht="30" customHeight="1"/>
    <row r="39" spans="1:11" ht="30" customHeight="1"/>
    <row r="40" spans="1:11" ht="30" customHeight="1"/>
    <row r="41" spans="1:11" ht="30" customHeight="1"/>
    <row r="42" spans="1:11" ht="30" customHeight="1"/>
    <row r="43" spans="1:11" ht="30" customHeight="1"/>
    <row r="44" spans="1:11" ht="30" customHeight="1"/>
    <row r="45" spans="1:11" ht="30" customHeight="1"/>
    <row r="46" spans="1:11" ht="30" customHeight="1"/>
    <row r="47" spans="1:11" ht="30" customHeight="1"/>
    <row r="48" spans="1:11"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row r="82" ht="30" customHeight="1"/>
    <row r="83" ht="30" customHeight="1"/>
    <row r="84" ht="30" customHeight="1"/>
    <row r="85" ht="30" customHeight="1"/>
    <row r="86" ht="30" customHeight="1"/>
    <row r="87" ht="30" customHeight="1"/>
    <row r="88" ht="30" customHeight="1"/>
    <row r="89" ht="30" customHeight="1"/>
    <row r="90" ht="30" customHeight="1"/>
    <row r="91" ht="30" customHeight="1"/>
    <row r="92" ht="30" customHeight="1"/>
    <row r="93" ht="30" customHeight="1"/>
    <row r="94" ht="30" customHeight="1"/>
    <row r="95" ht="30" customHeight="1"/>
    <row r="96" ht="30" customHeight="1"/>
    <row r="97" ht="30" customHeight="1"/>
    <row r="98" ht="30" customHeight="1"/>
    <row r="99" ht="30" customHeight="1"/>
    <row r="100" ht="30" customHeight="1"/>
    <row r="101" ht="30" customHeight="1"/>
    <row r="102" ht="30" customHeight="1"/>
    <row r="103" ht="30" customHeight="1"/>
    <row r="104" ht="30" customHeight="1"/>
    <row r="105" ht="30" customHeight="1"/>
    <row r="106" ht="30" customHeight="1"/>
    <row r="107" ht="30" customHeight="1"/>
    <row r="108" ht="30" customHeight="1"/>
    <row r="109" ht="30" customHeight="1"/>
    <row r="110" ht="30" customHeight="1"/>
    <row r="111" ht="30" customHeight="1"/>
    <row r="112" ht="30" customHeight="1"/>
    <row r="113" ht="30" customHeight="1"/>
    <row r="114" ht="30" customHeight="1"/>
    <row r="115" ht="30" customHeight="1"/>
    <row r="116" ht="30" customHeight="1"/>
    <row r="117" ht="30" customHeight="1"/>
    <row r="118" ht="30" customHeight="1"/>
    <row r="119" ht="30" customHeight="1"/>
    <row r="120" ht="30" customHeight="1"/>
    <row r="121" ht="30" customHeight="1"/>
    <row r="122" ht="30" customHeight="1"/>
    <row r="123" ht="30" customHeight="1"/>
    <row r="124" ht="30" customHeight="1"/>
    <row r="125" ht="30" customHeight="1"/>
    <row r="126" ht="30" customHeight="1"/>
    <row r="127" ht="30" customHeight="1"/>
    <row r="128" ht="30" customHeight="1"/>
    <row r="129" ht="30" customHeight="1"/>
    <row r="130" ht="30" customHeight="1"/>
    <row r="131" ht="30" customHeight="1"/>
    <row r="132" ht="30" customHeight="1"/>
    <row r="133" ht="30" customHeight="1"/>
    <row r="134" ht="30" customHeight="1"/>
    <row r="135" ht="30" customHeight="1"/>
    <row r="136" ht="30" customHeight="1"/>
    <row r="137" ht="30" customHeight="1"/>
    <row r="138" ht="30" customHeight="1"/>
    <row r="139" ht="30" customHeight="1"/>
    <row r="140" ht="30" customHeight="1"/>
    <row r="141" ht="30" customHeight="1"/>
    <row r="142" ht="30" customHeight="1"/>
    <row r="143" ht="30" customHeight="1"/>
    <row r="144" ht="30" customHeight="1"/>
    <row r="145" ht="30" customHeight="1"/>
    <row r="146" ht="30" customHeight="1"/>
    <row r="147" ht="30" customHeight="1"/>
    <row r="148" ht="30" customHeight="1"/>
    <row r="149" ht="30" customHeight="1"/>
    <row r="150" ht="30" customHeight="1"/>
    <row r="151" ht="30" customHeight="1"/>
    <row r="152" ht="30" customHeight="1"/>
    <row r="153" ht="30" customHeight="1"/>
    <row r="154" ht="30" customHeight="1"/>
    <row r="155" ht="30" customHeight="1"/>
    <row r="156" ht="30" customHeight="1"/>
    <row r="157" ht="30" customHeight="1"/>
    <row r="158" ht="30" customHeight="1"/>
    <row r="159" ht="30" customHeight="1"/>
    <row r="160" ht="30" customHeight="1"/>
    <row r="161" ht="30" customHeight="1"/>
    <row r="162" ht="30" customHeight="1"/>
    <row r="163" ht="30" customHeight="1"/>
    <row r="164" ht="30" customHeight="1"/>
    <row r="165" ht="30" customHeight="1"/>
    <row r="166" ht="30" customHeight="1"/>
    <row r="167" ht="30" customHeight="1"/>
    <row r="168" ht="30" customHeight="1"/>
    <row r="169" ht="30" customHeight="1"/>
    <row r="170" ht="30" customHeight="1"/>
    <row r="171" ht="30" customHeight="1"/>
    <row r="172" ht="30" customHeight="1"/>
    <row r="173" ht="30" customHeight="1"/>
    <row r="174" ht="30" customHeight="1"/>
    <row r="175" ht="30" customHeight="1"/>
    <row r="176" ht="30" customHeight="1"/>
    <row r="177" ht="30" customHeight="1"/>
    <row r="178" ht="30" customHeight="1"/>
    <row r="179" ht="30" customHeight="1"/>
    <row r="180" ht="30" customHeight="1"/>
    <row r="181" ht="30" customHeight="1"/>
    <row r="182" ht="30" customHeight="1"/>
    <row r="183" ht="30" customHeight="1"/>
    <row r="184" ht="30" customHeight="1"/>
    <row r="185" ht="30" customHeight="1"/>
    <row r="186" ht="30" customHeight="1"/>
    <row r="187" ht="30" customHeight="1"/>
    <row r="188" ht="30" customHeight="1"/>
    <row r="189" ht="30" customHeight="1"/>
    <row r="190" ht="30" customHeight="1"/>
    <row r="191" ht="30" customHeight="1"/>
    <row r="192" ht="30" customHeight="1"/>
    <row r="193" ht="30" customHeight="1"/>
    <row r="194" ht="30" customHeight="1"/>
    <row r="195" ht="30" customHeight="1"/>
    <row r="196" ht="30" customHeight="1"/>
    <row r="197" ht="30" customHeight="1"/>
    <row r="198" ht="30" customHeight="1"/>
    <row r="199" ht="30" customHeight="1"/>
    <row r="200" ht="30" customHeight="1"/>
    <row r="201" ht="30" customHeight="1"/>
    <row r="202" ht="30" customHeight="1"/>
    <row r="203" ht="30" customHeight="1"/>
    <row r="204" ht="30" customHeight="1"/>
    <row r="205" ht="30" customHeight="1"/>
    <row r="206" ht="30" customHeight="1"/>
    <row r="207" ht="30" customHeight="1"/>
    <row r="208" ht="30" customHeight="1"/>
    <row r="209" ht="30" customHeight="1"/>
    <row r="210" ht="30" customHeight="1"/>
    <row r="211" ht="30" customHeight="1"/>
    <row r="212" ht="30" customHeight="1"/>
    <row r="213" ht="30" customHeight="1"/>
    <row r="214" ht="30" customHeight="1"/>
    <row r="215" ht="30" customHeight="1"/>
    <row r="216" ht="30" customHeight="1"/>
    <row r="217" ht="30" customHeight="1"/>
    <row r="218" ht="30" customHeight="1"/>
    <row r="219" ht="30" customHeight="1"/>
    <row r="220" ht="30" customHeight="1"/>
    <row r="221" ht="30" customHeight="1"/>
    <row r="222" ht="30" customHeight="1"/>
    <row r="223" ht="30" customHeight="1"/>
    <row r="224" ht="30" customHeight="1"/>
    <row r="225" ht="30" customHeight="1"/>
    <row r="226" ht="30" customHeight="1"/>
    <row r="227" ht="30" customHeight="1"/>
    <row r="228" ht="30" customHeight="1"/>
    <row r="229" ht="30" customHeight="1"/>
    <row r="230" ht="30" customHeight="1"/>
    <row r="231" ht="30" customHeight="1"/>
    <row r="232" ht="30" customHeight="1"/>
    <row r="233" ht="30" customHeight="1"/>
    <row r="234" ht="30" customHeight="1"/>
    <row r="235" ht="30" customHeight="1"/>
    <row r="236" ht="30" customHeight="1"/>
    <row r="237" ht="30" customHeight="1"/>
    <row r="238" ht="30" customHeight="1"/>
    <row r="239" ht="30" customHeight="1"/>
    <row r="240" ht="30" customHeight="1"/>
    <row r="241" ht="30" customHeight="1"/>
    <row r="242" ht="30" customHeight="1"/>
    <row r="243" ht="30" customHeight="1"/>
    <row r="244" ht="30" customHeight="1"/>
    <row r="245" ht="30" customHeight="1"/>
    <row r="246" ht="30" customHeight="1"/>
    <row r="247" ht="30" customHeight="1"/>
    <row r="248" ht="30" customHeight="1"/>
    <row r="249" ht="30" customHeight="1"/>
    <row r="250" ht="30" customHeight="1"/>
    <row r="251" ht="30" customHeight="1"/>
    <row r="252" ht="30" customHeight="1"/>
    <row r="253" ht="30" customHeight="1"/>
    <row r="254" ht="30" customHeight="1"/>
    <row r="255" ht="30" customHeight="1"/>
    <row r="256" ht="30" customHeight="1"/>
    <row r="257" ht="30" customHeight="1"/>
    <row r="258" ht="30" customHeight="1"/>
    <row r="259" ht="30" customHeight="1"/>
    <row r="260" ht="30" customHeight="1"/>
    <row r="261" ht="30" customHeight="1"/>
    <row r="262" ht="30" customHeight="1"/>
    <row r="263" ht="30" customHeight="1"/>
    <row r="264" ht="30" customHeight="1"/>
    <row r="265" ht="30" customHeight="1"/>
    <row r="266" ht="30" customHeight="1"/>
    <row r="267" ht="30" customHeight="1"/>
  </sheetData>
  <mergeCells count="2">
    <mergeCell ref="A2:K2"/>
    <mergeCell ref="A3:K3"/>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5B6"/>
  </sheetPr>
  <dimension ref="A1:P300"/>
  <sheetViews>
    <sheetView showGridLines="0" zoomScaleNormal="100" workbookViewId="0">
      <pane ySplit="3" topLeftCell="A4" activePane="bottomLeft" state="frozen"/>
      <selection pane="bottomLeft" activeCell="L66" sqref="L66"/>
    </sheetView>
  </sheetViews>
  <sheetFormatPr defaultColWidth="8.7109375" defaultRowHeight="15"/>
  <cols>
    <col min="1" max="1" width="12" customWidth="1"/>
    <col min="2" max="2" width="20" customWidth="1"/>
    <col min="3" max="3" width="26" customWidth="1"/>
    <col min="4" max="4" width="34" customWidth="1"/>
    <col min="5" max="5" width="22" customWidth="1"/>
    <col min="6" max="6" width="20" customWidth="1"/>
    <col min="7" max="8" width="28" customWidth="1"/>
    <col min="9" max="9" width="14" customWidth="1"/>
    <col min="10" max="10" width="12" customWidth="1"/>
    <col min="11" max="12" width="14" customWidth="1"/>
    <col min="13" max="13" width="13" customWidth="1"/>
    <col min="14" max="14" width="12" customWidth="1"/>
    <col min="15" max="15" width="18" customWidth="1"/>
    <col min="16" max="16" width="26" customWidth="1"/>
  </cols>
  <sheetData>
    <row r="1" spans="1:16" ht="31.5" customHeight="1">
      <c r="A1" s="122" t="s">
        <v>1262</v>
      </c>
      <c r="B1" s="122"/>
      <c r="C1" s="122"/>
      <c r="D1" s="122"/>
      <c r="E1" s="122"/>
      <c r="F1" s="122"/>
      <c r="G1" s="122"/>
      <c r="H1" s="122"/>
      <c r="I1" s="122"/>
      <c r="J1" s="122"/>
      <c r="K1" s="122"/>
      <c r="L1" s="122"/>
      <c r="M1" s="122"/>
      <c r="N1" s="122"/>
      <c r="O1" s="122"/>
      <c r="P1" s="122"/>
    </row>
    <row r="2" spans="1:16" ht="18" customHeight="1">
      <c r="A2" s="123" t="s">
        <v>32</v>
      </c>
      <c r="B2" s="123"/>
      <c r="C2" s="123"/>
      <c r="D2" s="123"/>
      <c r="E2" s="123"/>
      <c r="F2" s="123"/>
      <c r="G2" s="123"/>
      <c r="H2" s="123"/>
      <c r="I2" s="123"/>
      <c r="J2" s="123"/>
      <c r="K2" s="123"/>
      <c r="L2" s="123"/>
      <c r="M2" s="123"/>
      <c r="N2" s="123"/>
      <c r="O2" s="123"/>
      <c r="P2" s="123"/>
    </row>
    <row r="3" spans="1:16" ht="30" customHeight="1">
      <c r="A3" s="31" t="s">
        <v>50</v>
      </c>
      <c r="B3" s="31" t="s">
        <v>53</v>
      </c>
      <c r="C3" s="31" t="s">
        <v>56</v>
      </c>
      <c r="D3" s="31" t="s">
        <v>59</v>
      </c>
      <c r="E3" s="31" t="s">
        <v>62</v>
      </c>
      <c r="F3" s="31" t="s">
        <v>65</v>
      </c>
      <c r="G3" s="31" t="s">
        <v>68</v>
      </c>
      <c r="H3" s="31" t="s">
        <v>71</v>
      </c>
      <c r="I3" s="31" t="s">
        <v>74</v>
      </c>
      <c r="J3" s="31" t="s">
        <v>77</v>
      </c>
      <c r="K3" s="31" t="s">
        <v>80</v>
      </c>
      <c r="L3" s="31" t="s">
        <v>83</v>
      </c>
      <c r="M3" s="31" t="s">
        <v>86</v>
      </c>
      <c r="N3" s="31" t="s">
        <v>89</v>
      </c>
      <c r="O3" s="31" t="s">
        <v>92</v>
      </c>
      <c r="P3" s="31" t="s">
        <v>95</v>
      </c>
    </row>
    <row r="4" spans="1:16" ht="60" customHeight="1">
      <c r="A4" s="32" t="s">
        <v>121</v>
      </c>
      <c r="B4" s="33" t="s">
        <v>122</v>
      </c>
      <c r="C4" s="33" t="s">
        <v>123</v>
      </c>
      <c r="D4" s="33" t="s">
        <v>151</v>
      </c>
      <c r="E4" s="33" t="s">
        <v>125</v>
      </c>
      <c r="F4" s="33" t="s">
        <v>126</v>
      </c>
      <c r="G4" s="33" t="s">
        <v>152</v>
      </c>
      <c r="H4" s="33" t="s">
        <v>128</v>
      </c>
      <c r="I4" s="33" t="s">
        <v>102</v>
      </c>
      <c r="J4" s="33" t="s">
        <v>115</v>
      </c>
      <c r="K4" s="33" t="s">
        <v>129</v>
      </c>
      <c r="L4" s="33" t="s">
        <v>130</v>
      </c>
      <c r="M4" s="33" t="s">
        <v>131</v>
      </c>
      <c r="N4" s="33" t="s">
        <v>132</v>
      </c>
      <c r="O4" s="33" t="s">
        <v>153</v>
      </c>
      <c r="P4" s="33" t="s">
        <v>154</v>
      </c>
    </row>
    <row r="5" spans="1:16" ht="30" customHeight="1">
      <c r="A5" s="36" t="s">
        <v>1263</v>
      </c>
      <c r="B5" s="37" t="s">
        <v>1264</v>
      </c>
      <c r="C5" s="37" t="s">
        <v>1265</v>
      </c>
      <c r="D5" s="37" t="s">
        <v>1266</v>
      </c>
      <c r="E5" s="37" t="s">
        <v>1267</v>
      </c>
      <c r="F5" s="37" t="s">
        <v>1268</v>
      </c>
      <c r="G5" s="37" t="s">
        <v>1269</v>
      </c>
      <c r="H5" s="38" t="s">
        <v>1270</v>
      </c>
      <c r="I5" s="37" t="s">
        <v>102</v>
      </c>
      <c r="J5" s="37" t="s">
        <v>113</v>
      </c>
      <c r="K5" s="37" t="s">
        <v>180</v>
      </c>
      <c r="L5" s="37" t="s">
        <v>818</v>
      </c>
      <c r="M5" s="39">
        <v>46249</v>
      </c>
      <c r="N5" s="37" t="s">
        <v>146</v>
      </c>
      <c r="O5" s="68" t="s">
        <v>153</v>
      </c>
      <c r="P5" s="37" t="s">
        <v>1271</v>
      </c>
    </row>
    <row r="6" spans="1:16" ht="30" customHeight="1">
      <c r="A6" s="36" t="s">
        <v>1272</v>
      </c>
      <c r="B6" s="40" t="s">
        <v>1264</v>
      </c>
      <c r="C6" s="40" t="s">
        <v>1273</v>
      </c>
      <c r="D6" s="40" t="s">
        <v>1274</v>
      </c>
      <c r="E6" s="40" t="s">
        <v>1267</v>
      </c>
      <c r="F6" s="40" t="s">
        <v>1275</v>
      </c>
      <c r="G6" s="40" t="s">
        <v>1276</v>
      </c>
      <c r="H6" s="38" t="s">
        <v>1277</v>
      </c>
      <c r="I6" s="40" t="s">
        <v>102</v>
      </c>
      <c r="J6" s="40" t="s">
        <v>115</v>
      </c>
      <c r="K6" s="40" t="s">
        <v>201</v>
      </c>
      <c r="L6" s="37" t="s">
        <v>818</v>
      </c>
      <c r="M6" s="41">
        <v>46249</v>
      </c>
      <c r="N6" s="40" t="s">
        <v>146</v>
      </c>
      <c r="O6" s="69" t="s">
        <v>153</v>
      </c>
      <c r="P6" s="40" t="s">
        <v>1271</v>
      </c>
    </row>
    <row r="7" spans="1:16" ht="30" customHeight="1">
      <c r="A7" s="36" t="s">
        <v>1278</v>
      </c>
      <c r="B7" s="37" t="s">
        <v>1279</v>
      </c>
      <c r="C7" s="37" t="s">
        <v>1280</v>
      </c>
      <c r="D7" s="37" t="s">
        <v>1281</v>
      </c>
      <c r="E7" s="37" t="s">
        <v>1267</v>
      </c>
      <c r="F7" s="37" t="s">
        <v>1268</v>
      </c>
      <c r="G7" s="37" t="s">
        <v>1282</v>
      </c>
      <c r="H7" s="38" t="s">
        <v>1283</v>
      </c>
      <c r="I7" s="37" t="s">
        <v>102</v>
      </c>
      <c r="J7" s="37" t="s">
        <v>115</v>
      </c>
      <c r="K7" s="37" t="s">
        <v>201</v>
      </c>
      <c r="L7" s="37" t="s">
        <v>818</v>
      </c>
      <c r="M7" s="39">
        <v>46249</v>
      </c>
      <c r="N7" s="37" t="s">
        <v>146</v>
      </c>
      <c r="O7" s="68" t="s">
        <v>153</v>
      </c>
      <c r="P7" s="37" t="s">
        <v>1271</v>
      </c>
    </row>
    <row r="8" spans="1:16" ht="30" customHeight="1">
      <c r="A8" s="36" t="s">
        <v>1284</v>
      </c>
      <c r="B8" s="40" t="s">
        <v>1279</v>
      </c>
      <c r="C8" s="40" t="s">
        <v>1285</v>
      </c>
      <c r="D8" s="40" t="s">
        <v>1286</v>
      </c>
      <c r="E8" s="40" t="s">
        <v>1267</v>
      </c>
      <c r="F8" s="40" t="s">
        <v>1287</v>
      </c>
      <c r="G8" s="40" t="s">
        <v>1288</v>
      </c>
      <c r="H8" s="38" t="s">
        <v>1289</v>
      </c>
      <c r="I8" s="40" t="s">
        <v>102</v>
      </c>
      <c r="J8" s="40" t="s">
        <v>115</v>
      </c>
      <c r="K8" s="40" t="s">
        <v>201</v>
      </c>
      <c r="L8" s="37" t="s">
        <v>818</v>
      </c>
      <c r="M8" s="41">
        <v>46249</v>
      </c>
      <c r="N8" s="40" t="s">
        <v>146</v>
      </c>
      <c r="O8" s="69" t="s">
        <v>153</v>
      </c>
      <c r="P8" s="40" t="s">
        <v>1271</v>
      </c>
    </row>
    <row r="9" spans="1:16" ht="30" customHeight="1">
      <c r="A9" s="36" t="s">
        <v>1290</v>
      </c>
      <c r="B9" s="37" t="s">
        <v>1279</v>
      </c>
      <c r="C9" s="37" t="s">
        <v>1291</v>
      </c>
      <c r="D9" s="37" t="s">
        <v>1292</v>
      </c>
      <c r="E9" s="37" t="s">
        <v>1267</v>
      </c>
      <c r="F9" s="37" t="s">
        <v>1293</v>
      </c>
      <c r="G9" s="37" t="s">
        <v>1294</v>
      </c>
      <c r="H9" s="38" t="s">
        <v>1295</v>
      </c>
      <c r="I9" s="37" t="s">
        <v>102</v>
      </c>
      <c r="J9" s="37" t="s">
        <v>115</v>
      </c>
      <c r="K9" s="37" t="s">
        <v>201</v>
      </c>
      <c r="L9" s="37" t="s">
        <v>818</v>
      </c>
      <c r="M9" s="39">
        <v>46249</v>
      </c>
      <c r="N9" s="37" t="s">
        <v>146</v>
      </c>
      <c r="O9" s="68" t="s">
        <v>153</v>
      </c>
      <c r="P9" s="37" t="s">
        <v>1271</v>
      </c>
    </row>
    <row r="10" spans="1:16" ht="30" customHeight="1">
      <c r="A10" s="36" t="s">
        <v>1296</v>
      </c>
      <c r="B10" s="40" t="s">
        <v>1279</v>
      </c>
      <c r="C10" s="40" t="s">
        <v>1297</v>
      </c>
      <c r="D10" s="40" t="s">
        <v>1298</v>
      </c>
      <c r="E10" s="40" t="s">
        <v>1267</v>
      </c>
      <c r="F10" s="40" t="s">
        <v>1299</v>
      </c>
      <c r="G10" s="40" t="s">
        <v>1300</v>
      </c>
      <c r="H10" s="38" t="s">
        <v>1301</v>
      </c>
      <c r="I10" s="40" t="s">
        <v>102</v>
      </c>
      <c r="J10" s="40" t="s">
        <v>115</v>
      </c>
      <c r="K10" s="40" t="s">
        <v>201</v>
      </c>
      <c r="L10" s="37" t="s">
        <v>818</v>
      </c>
      <c r="M10" s="41">
        <v>46249</v>
      </c>
      <c r="N10" s="40" t="s">
        <v>146</v>
      </c>
      <c r="O10" s="69" t="s">
        <v>153</v>
      </c>
      <c r="P10" s="40" t="s">
        <v>1271</v>
      </c>
    </row>
    <row r="11" spans="1:16" ht="30" customHeight="1">
      <c r="A11" s="36" t="s">
        <v>1302</v>
      </c>
      <c r="B11" s="37" t="s">
        <v>1279</v>
      </c>
      <c r="C11" s="37" t="s">
        <v>1303</v>
      </c>
      <c r="D11" s="37" t="s">
        <v>1304</v>
      </c>
      <c r="E11" s="37" t="s">
        <v>1267</v>
      </c>
      <c r="F11" s="37" t="s">
        <v>1305</v>
      </c>
      <c r="G11" s="37" t="s">
        <v>1306</v>
      </c>
      <c r="H11" s="38" t="s">
        <v>1307</v>
      </c>
      <c r="I11" s="37" t="s">
        <v>102</v>
      </c>
      <c r="J11" s="37" t="s">
        <v>115</v>
      </c>
      <c r="K11" s="37" t="s">
        <v>201</v>
      </c>
      <c r="L11" s="37" t="s">
        <v>818</v>
      </c>
      <c r="M11" s="39">
        <v>46249</v>
      </c>
      <c r="N11" s="37" t="s">
        <v>146</v>
      </c>
      <c r="O11" s="68" t="s">
        <v>153</v>
      </c>
      <c r="P11" s="37" t="s">
        <v>1271</v>
      </c>
    </row>
    <row r="12" spans="1:16" ht="30" customHeight="1">
      <c r="A12" s="36" t="s">
        <v>1308</v>
      </c>
      <c r="B12" s="40" t="s">
        <v>1279</v>
      </c>
      <c r="C12" s="40" t="s">
        <v>1309</v>
      </c>
      <c r="D12" s="40" t="s">
        <v>1310</v>
      </c>
      <c r="E12" s="40" t="s">
        <v>1267</v>
      </c>
      <c r="F12" s="40" t="s">
        <v>1311</v>
      </c>
      <c r="G12" s="40" t="s">
        <v>1312</v>
      </c>
      <c r="H12" s="38" t="s">
        <v>1313</v>
      </c>
      <c r="I12" s="40" t="s">
        <v>102</v>
      </c>
      <c r="J12" s="40" t="s">
        <v>115</v>
      </c>
      <c r="K12" s="40" t="s">
        <v>201</v>
      </c>
      <c r="L12" s="37" t="s">
        <v>818</v>
      </c>
      <c r="M12" s="41">
        <v>46249</v>
      </c>
      <c r="N12" s="40" t="s">
        <v>146</v>
      </c>
      <c r="O12" s="69" t="s">
        <v>153</v>
      </c>
      <c r="P12" s="40" t="s">
        <v>1271</v>
      </c>
    </row>
    <row r="13" spans="1:16" ht="30" customHeight="1">
      <c r="A13" s="36" t="s">
        <v>1314</v>
      </c>
      <c r="B13" s="37" t="s">
        <v>1279</v>
      </c>
      <c r="C13" s="37" t="s">
        <v>1315</v>
      </c>
      <c r="D13" s="37" t="s">
        <v>1316</v>
      </c>
      <c r="E13" s="37" t="s">
        <v>1267</v>
      </c>
      <c r="F13" s="37" t="s">
        <v>1317</v>
      </c>
      <c r="G13" s="37" t="s">
        <v>1318</v>
      </c>
      <c r="H13" s="38" t="s">
        <v>1319</v>
      </c>
      <c r="I13" s="37" t="s">
        <v>102</v>
      </c>
      <c r="J13" s="37" t="s">
        <v>115</v>
      </c>
      <c r="K13" s="37" t="s">
        <v>201</v>
      </c>
      <c r="L13" s="37" t="s">
        <v>818</v>
      </c>
      <c r="M13" s="39">
        <v>46249</v>
      </c>
      <c r="N13" s="37" t="s">
        <v>146</v>
      </c>
      <c r="O13" s="68" t="s">
        <v>153</v>
      </c>
      <c r="P13" s="37" t="s">
        <v>1271</v>
      </c>
    </row>
    <row r="14" spans="1:16" ht="30" customHeight="1">
      <c r="A14" s="36" t="s">
        <v>1320</v>
      </c>
      <c r="B14" s="40" t="s">
        <v>1279</v>
      </c>
      <c r="C14" s="40" t="s">
        <v>1321</v>
      </c>
      <c r="D14" s="40" t="s">
        <v>1322</v>
      </c>
      <c r="E14" s="40" t="s">
        <v>1267</v>
      </c>
      <c r="F14" s="40" t="s">
        <v>1323</v>
      </c>
      <c r="G14" s="40" t="s">
        <v>1324</v>
      </c>
      <c r="H14" s="38" t="s">
        <v>1325</v>
      </c>
      <c r="I14" s="40" t="s">
        <v>102</v>
      </c>
      <c r="J14" s="40" t="s">
        <v>115</v>
      </c>
      <c r="K14" s="40" t="s">
        <v>201</v>
      </c>
      <c r="L14" s="37" t="s">
        <v>818</v>
      </c>
      <c r="M14" s="41">
        <v>46249</v>
      </c>
      <c r="N14" s="40" t="s">
        <v>146</v>
      </c>
      <c r="O14" s="69" t="s">
        <v>153</v>
      </c>
      <c r="P14" s="40" t="s">
        <v>1271</v>
      </c>
    </row>
    <row r="15" spans="1:16" ht="30" customHeight="1">
      <c r="A15" s="36" t="s">
        <v>1326</v>
      </c>
      <c r="B15" s="37" t="s">
        <v>1279</v>
      </c>
      <c r="C15" s="37" t="s">
        <v>1327</v>
      </c>
      <c r="D15" s="37" t="s">
        <v>1328</v>
      </c>
      <c r="E15" s="37" t="s">
        <v>1267</v>
      </c>
      <c r="F15" s="37" t="s">
        <v>1329</v>
      </c>
      <c r="G15" s="37" t="s">
        <v>1330</v>
      </c>
      <c r="H15" s="38" t="s">
        <v>1331</v>
      </c>
      <c r="I15" s="70" t="s">
        <v>104</v>
      </c>
      <c r="J15" s="37" t="s">
        <v>117</v>
      </c>
      <c r="K15" s="37" t="s">
        <v>1332</v>
      </c>
      <c r="L15" s="37" t="s">
        <v>818</v>
      </c>
      <c r="M15" s="39">
        <v>46249</v>
      </c>
      <c r="N15" s="37" t="s">
        <v>146</v>
      </c>
      <c r="O15" s="37" t="s">
        <v>1333</v>
      </c>
      <c r="P15" s="37" t="s">
        <v>1334</v>
      </c>
    </row>
    <row r="16" spans="1:16" ht="30" customHeight="1">
      <c r="A16" s="36" t="s">
        <v>1335</v>
      </c>
      <c r="B16" s="40" t="s">
        <v>1279</v>
      </c>
      <c r="C16" s="40" t="s">
        <v>1336</v>
      </c>
      <c r="D16" s="40" t="s">
        <v>1337</v>
      </c>
      <c r="E16" s="40" t="s">
        <v>1267</v>
      </c>
      <c r="F16" s="40" t="s">
        <v>1338</v>
      </c>
      <c r="G16" s="40" t="s">
        <v>1339</v>
      </c>
      <c r="H16" s="38" t="s">
        <v>1340</v>
      </c>
      <c r="I16" s="40" t="s">
        <v>102</v>
      </c>
      <c r="J16" s="40" t="s">
        <v>115</v>
      </c>
      <c r="K16" s="40" t="s">
        <v>201</v>
      </c>
      <c r="L16" s="37" t="s">
        <v>818</v>
      </c>
      <c r="M16" s="41">
        <v>46249</v>
      </c>
      <c r="N16" s="40" t="s">
        <v>146</v>
      </c>
      <c r="O16" s="69" t="s">
        <v>153</v>
      </c>
      <c r="P16" s="40" t="s">
        <v>1271</v>
      </c>
    </row>
    <row r="17" spans="1:16" ht="30" customHeight="1">
      <c r="A17" s="36" t="s">
        <v>1341</v>
      </c>
      <c r="B17" s="37" t="s">
        <v>1279</v>
      </c>
      <c r="C17" s="37" t="s">
        <v>1342</v>
      </c>
      <c r="D17" s="37" t="s">
        <v>1343</v>
      </c>
      <c r="E17" s="37" t="s">
        <v>1267</v>
      </c>
      <c r="F17" s="37" t="s">
        <v>1344</v>
      </c>
      <c r="G17" s="37" t="s">
        <v>1345</v>
      </c>
      <c r="H17" s="38" t="s">
        <v>1346</v>
      </c>
      <c r="I17" s="37" t="s">
        <v>102</v>
      </c>
      <c r="J17" s="37" t="s">
        <v>115</v>
      </c>
      <c r="K17" s="37" t="s">
        <v>201</v>
      </c>
      <c r="L17" s="37" t="s">
        <v>818</v>
      </c>
      <c r="M17" s="39">
        <v>46249</v>
      </c>
      <c r="N17" s="37" t="s">
        <v>146</v>
      </c>
      <c r="O17" s="68" t="s">
        <v>153</v>
      </c>
      <c r="P17" s="37" t="s">
        <v>1271</v>
      </c>
    </row>
    <row r="18" spans="1:16" ht="30" customHeight="1">
      <c r="A18" s="36" t="s">
        <v>1347</v>
      </c>
      <c r="B18" s="40" t="s">
        <v>1279</v>
      </c>
      <c r="C18" s="40" t="s">
        <v>1348</v>
      </c>
      <c r="D18" s="40" t="s">
        <v>1349</v>
      </c>
      <c r="E18" s="40" t="s">
        <v>1267</v>
      </c>
      <c r="F18" s="40" t="s">
        <v>1350</v>
      </c>
      <c r="G18" s="40" t="s">
        <v>1351</v>
      </c>
      <c r="H18" s="38" t="s">
        <v>1352</v>
      </c>
      <c r="I18" s="40" t="s">
        <v>102</v>
      </c>
      <c r="J18" s="40" t="s">
        <v>115</v>
      </c>
      <c r="K18" s="40" t="s">
        <v>201</v>
      </c>
      <c r="L18" s="37" t="s">
        <v>818</v>
      </c>
      <c r="M18" s="41">
        <v>46249</v>
      </c>
      <c r="N18" s="40" t="s">
        <v>146</v>
      </c>
      <c r="O18" s="69" t="s">
        <v>153</v>
      </c>
      <c r="P18" s="40" t="s">
        <v>1271</v>
      </c>
    </row>
    <row r="19" spans="1:16" ht="30" customHeight="1">
      <c r="A19" s="36" t="s">
        <v>1353</v>
      </c>
      <c r="B19" s="37" t="s">
        <v>1354</v>
      </c>
      <c r="C19" s="37" t="s">
        <v>1355</v>
      </c>
      <c r="D19" s="37" t="s">
        <v>1356</v>
      </c>
      <c r="E19" s="37" t="s">
        <v>1267</v>
      </c>
      <c r="F19" s="37" t="s">
        <v>1357</v>
      </c>
      <c r="G19" s="37" t="s">
        <v>1358</v>
      </c>
      <c r="H19" s="38" t="s">
        <v>1359</v>
      </c>
      <c r="I19" s="37" t="s">
        <v>102</v>
      </c>
      <c r="J19" s="37" t="s">
        <v>113</v>
      </c>
      <c r="K19" s="37" t="s">
        <v>180</v>
      </c>
      <c r="L19" s="37" t="s">
        <v>818</v>
      </c>
      <c r="M19" s="39">
        <v>46249</v>
      </c>
      <c r="N19" s="37" t="s">
        <v>146</v>
      </c>
      <c r="O19" s="68" t="s">
        <v>153</v>
      </c>
      <c r="P19" s="37" t="s">
        <v>1271</v>
      </c>
    </row>
    <row r="20" spans="1:16" ht="30" customHeight="1">
      <c r="A20" s="36" t="s">
        <v>1360</v>
      </c>
      <c r="B20" s="40" t="s">
        <v>1354</v>
      </c>
      <c r="C20" s="40" t="s">
        <v>1361</v>
      </c>
      <c r="D20" s="40" t="s">
        <v>1362</v>
      </c>
      <c r="E20" s="40" t="s">
        <v>1267</v>
      </c>
      <c r="F20" s="40" t="s">
        <v>1363</v>
      </c>
      <c r="G20" s="40" t="s">
        <v>1364</v>
      </c>
      <c r="H20" s="38" t="s">
        <v>1365</v>
      </c>
      <c r="I20" s="40" t="s">
        <v>102</v>
      </c>
      <c r="J20" s="40" t="s">
        <v>115</v>
      </c>
      <c r="K20" s="40" t="s">
        <v>201</v>
      </c>
      <c r="L20" s="37" t="s">
        <v>818</v>
      </c>
      <c r="M20" s="41">
        <v>46249</v>
      </c>
      <c r="N20" s="40" t="s">
        <v>146</v>
      </c>
      <c r="O20" s="69" t="s">
        <v>153</v>
      </c>
      <c r="P20" s="40" t="s">
        <v>1271</v>
      </c>
    </row>
    <row r="21" spans="1:16" ht="30" customHeight="1">
      <c r="A21" s="36" t="s">
        <v>1366</v>
      </c>
      <c r="B21" s="37" t="s">
        <v>1354</v>
      </c>
      <c r="C21" s="37" t="s">
        <v>1367</v>
      </c>
      <c r="D21" s="37" t="s">
        <v>1368</v>
      </c>
      <c r="E21" s="37" t="s">
        <v>1267</v>
      </c>
      <c r="F21" s="37" t="s">
        <v>1369</v>
      </c>
      <c r="G21" s="37" t="s">
        <v>1370</v>
      </c>
      <c r="H21" s="38" t="s">
        <v>1371</v>
      </c>
      <c r="I21" s="37" t="s">
        <v>102</v>
      </c>
      <c r="J21" s="37" t="s">
        <v>115</v>
      </c>
      <c r="K21" s="37" t="s">
        <v>201</v>
      </c>
      <c r="L21" s="37" t="s">
        <v>818</v>
      </c>
      <c r="M21" s="39">
        <v>46249</v>
      </c>
      <c r="N21" s="37" t="s">
        <v>146</v>
      </c>
      <c r="O21" s="68" t="s">
        <v>153</v>
      </c>
      <c r="P21" s="37" t="s">
        <v>1271</v>
      </c>
    </row>
    <row r="22" spans="1:16" ht="30" customHeight="1">
      <c r="A22" s="36" t="s">
        <v>1372</v>
      </c>
      <c r="B22" s="40" t="s">
        <v>1354</v>
      </c>
      <c r="C22" s="40" t="s">
        <v>1373</v>
      </c>
      <c r="D22" s="40" t="s">
        <v>1374</v>
      </c>
      <c r="E22" s="40" t="s">
        <v>1267</v>
      </c>
      <c r="F22" s="40" t="s">
        <v>1375</v>
      </c>
      <c r="G22" s="40" t="s">
        <v>1376</v>
      </c>
      <c r="H22" s="38" t="s">
        <v>1377</v>
      </c>
      <c r="I22" s="40" t="s">
        <v>102</v>
      </c>
      <c r="J22" s="40" t="s">
        <v>113</v>
      </c>
      <c r="K22" s="40" t="s">
        <v>180</v>
      </c>
      <c r="L22" s="37" t="s">
        <v>818</v>
      </c>
      <c r="M22" s="41">
        <v>46249</v>
      </c>
      <c r="N22" s="40" t="s">
        <v>146</v>
      </c>
      <c r="O22" s="69" t="s">
        <v>153</v>
      </c>
      <c r="P22" s="40" t="s">
        <v>1271</v>
      </c>
    </row>
    <row r="23" spans="1:16" ht="30" customHeight="1">
      <c r="A23" s="36" t="s">
        <v>1378</v>
      </c>
      <c r="B23" s="37" t="s">
        <v>1354</v>
      </c>
      <c r="C23" s="37" t="s">
        <v>1379</v>
      </c>
      <c r="D23" s="37" t="s">
        <v>1380</v>
      </c>
      <c r="E23" s="37" t="s">
        <v>1267</v>
      </c>
      <c r="F23" s="37" t="s">
        <v>1381</v>
      </c>
      <c r="G23" s="37" t="s">
        <v>1382</v>
      </c>
      <c r="H23" s="38" t="s">
        <v>1383</v>
      </c>
      <c r="I23" s="37" t="s">
        <v>102</v>
      </c>
      <c r="J23" s="37" t="s">
        <v>113</v>
      </c>
      <c r="K23" s="37" t="s">
        <v>180</v>
      </c>
      <c r="L23" s="37" t="s">
        <v>818</v>
      </c>
      <c r="M23" s="39">
        <v>46249</v>
      </c>
      <c r="N23" s="37" t="s">
        <v>146</v>
      </c>
      <c r="O23" s="68" t="s">
        <v>153</v>
      </c>
      <c r="P23" s="37" t="s">
        <v>1271</v>
      </c>
    </row>
    <row r="24" spans="1:16" ht="30" customHeight="1">
      <c r="A24" s="36" t="s">
        <v>1384</v>
      </c>
      <c r="B24" s="40" t="s">
        <v>1354</v>
      </c>
      <c r="C24" s="40" t="s">
        <v>1385</v>
      </c>
      <c r="D24" s="40" t="s">
        <v>1386</v>
      </c>
      <c r="E24" s="40" t="s">
        <v>1267</v>
      </c>
      <c r="F24" s="40" t="s">
        <v>1387</v>
      </c>
      <c r="G24" s="40" t="s">
        <v>1388</v>
      </c>
      <c r="H24" s="38" t="s">
        <v>1389</v>
      </c>
      <c r="I24" s="40" t="s">
        <v>102</v>
      </c>
      <c r="J24" s="40" t="s">
        <v>113</v>
      </c>
      <c r="K24" s="40" t="s">
        <v>180</v>
      </c>
      <c r="L24" s="37" t="s">
        <v>818</v>
      </c>
      <c r="M24" s="41">
        <v>46249</v>
      </c>
      <c r="N24" s="40" t="s">
        <v>146</v>
      </c>
      <c r="O24" s="69" t="s">
        <v>153</v>
      </c>
      <c r="P24" s="40" t="s">
        <v>1271</v>
      </c>
    </row>
    <row r="25" spans="1:16" ht="30" customHeight="1">
      <c r="A25" s="36" t="s">
        <v>1390</v>
      </c>
      <c r="B25" s="37" t="s">
        <v>1391</v>
      </c>
      <c r="C25" s="37" t="s">
        <v>1392</v>
      </c>
      <c r="D25" s="37" t="s">
        <v>1393</v>
      </c>
      <c r="E25" s="37" t="s">
        <v>1267</v>
      </c>
      <c r="F25" s="37" t="s">
        <v>1394</v>
      </c>
      <c r="G25" s="37" t="s">
        <v>1395</v>
      </c>
      <c r="H25" s="38" t="s">
        <v>1396</v>
      </c>
      <c r="I25" s="37" t="s">
        <v>102</v>
      </c>
      <c r="J25" s="37" t="s">
        <v>115</v>
      </c>
      <c r="K25" s="37" t="s">
        <v>201</v>
      </c>
      <c r="L25" s="37" t="s">
        <v>818</v>
      </c>
      <c r="M25" s="39">
        <v>46249</v>
      </c>
      <c r="N25" s="37" t="s">
        <v>146</v>
      </c>
      <c r="O25" s="68" t="s">
        <v>153</v>
      </c>
      <c r="P25" s="37" t="s">
        <v>1271</v>
      </c>
    </row>
    <row r="26" spans="1:16" ht="30" customHeight="1">
      <c r="A26" s="36" t="s">
        <v>1397</v>
      </c>
      <c r="B26" s="40" t="s">
        <v>1391</v>
      </c>
      <c r="C26" s="40" t="s">
        <v>1398</v>
      </c>
      <c r="D26" s="40" t="s">
        <v>1399</v>
      </c>
      <c r="E26" s="40" t="s">
        <v>1267</v>
      </c>
      <c r="F26" s="40" t="s">
        <v>1400</v>
      </c>
      <c r="G26" s="40" t="s">
        <v>1401</v>
      </c>
      <c r="H26" s="38" t="s">
        <v>1402</v>
      </c>
      <c r="I26" s="40" t="s">
        <v>102</v>
      </c>
      <c r="J26" s="40" t="s">
        <v>115</v>
      </c>
      <c r="K26" s="40" t="s">
        <v>201</v>
      </c>
      <c r="L26" s="37" t="s">
        <v>818</v>
      </c>
      <c r="M26" s="41">
        <v>46249</v>
      </c>
      <c r="N26" s="40" t="s">
        <v>146</v>
      </c>
      <c r="O26" s="69" t="s">
        <v>153</v>
      </c>
      <c r="P26" s="40" t="s">
        <v>1271</v>
      </c>
    </row>
    <row r="27" spans="1:16" ht="30" customHeight="1">
      <c r="A27" s="36" t="s">
        <v>1403</v>
      </c>
      <c r="B27" s="37" t="s">
        <v>1391</v>
      </c>
      <c r="C27" s="37" t="s">
        <v>1404</v>
      </c>
      <c r="D27" s="37" t="s">
        <v>1405</v>
      </c>
      <c r="E27" s="37" t="s">
        <v>1267</v>
      </c>
      <c r="F27" s="37" t="s">
        <v>1406</v>
      </c>
      <c r="G27" s="37" t="s">
        <v>1407</v>
      </c>
      <c r="H27" s="38" t="s">
        <v>1408</v>
      </c>
      <c r="I27" s="37" t="s">
        <v>102</v>
      </c>
      <c r="J27" s="37" t="s">
        <v>115</v>
      </c>
      <c r="K27" s="37" t="s">
        <v>201</v>
      </c>
      <c r="L27" s="37" t="s">
        <v>818</v>
      </c>
      <c r="M27" s="39">
        <v>46249</v>
      </c>
      <c r="N27" s="37" t="s">
        <v>146</v>
      </c>
      <c r="O27" s="68" t="s">
        <v>153</v>
      </c>
      <c r="P27" s="37" t="s">
        <v>1271</v>
      </c>
    </row>
    <row r="28" spans="1:16" ht="30" customHeight="1">
      <c r="A28" s="36" t="s">
        <v>1409</v>
      </c>
      <c r="B28" s="40" t="s">
        <v>1391</v>
      </c>
      <c r="C28" s="40" t="s">
        <v>1410</v>
      </c>
      <c r="D28" s="40" t="s">
        <v>1411</v>
      </c>
      <c r="E28" s="40" t="s">
        <v>1267</v>
      </c>
      <c r="F28" s="40" t="s">
        <v>1412</v>
      </c>
      <c r="G28" s="40" t="s">
        <v>1401</v>
      </c>
      <c r="H28" s="38" t="s">
        <v>1413</v>
      </c>
      <c r="I28" s="40" t="s">
        <v>102</v>
      </c>
      <c r="J28" s="40" t="s">
        <v>115</v>
      </c>
      <c r="K28" s="40" t="s">
        <v>201</v>
      </c>
      <c r="L28" s="37" t="s">
        <v>818</v>
      </c>
      <c r="M28" s="41">
        <v>46249</v>
      </c>
      <c r="N28" s="40" t="s">
        <v>146</v>
      </c>
      <c r="O28" s="69" t="s">
        <v>153</v>
      </c>
      <c r="P28" s="40" t="s">
        <v>1271</v>
      </c>
    </row>
    <row r="29" spans="1:16" ht="30" customHeight="1">
      <c r="A29" s="36" t="s">
        <v>1414</v>
      </c>
      <c r="B29" s="37" t="s">
        <v>1391</v>
      </c>
      <c r="C29" s="37" t="s">
        <v>1415</v>
      </c>
      <c r="D29" s="37" t="s">
        <v>1416</v>
      </c>
      <c r="E29" s="37" t="s">
        <v>1267</v>
      </c>
      <c r="F29" s="37" t="s">
        <v>1417</v>
      </c>
      <c r="G29" s="37" t="s">
        <v>1418</v>
      </c>
      <c r="H29" s="38" t="s">
        <v>1419</v>
      </c>
      <c r="I29" s="37" t="s">
        <v>102</v>
      </c>
      <c r="J29" s="37" t="s">
        <v>115</v>
      </c>
      <c r="K29" s="37" t="s">
        <v>201</v>
      </c>
      <c r="L29" s="37" t="s">
        <v>818</v>
      </c>
      <c r="M29" s="39">
        <v>46249</v>
      </c>
      <c r="N29" s="37" t="s">
        <v>146</v>
      </c>
      <c r="O29" s="68" t="s">
        <v>153</v>
      </c>
      <c r="P29" s="37" t="s">
        <v>1271</v>
      </c>
    </row>
    <row r="30" spans="1:16" ht="30" customHeight="1">
      <c r="A30" s="36" t="s">
        <v>1420</v>
      </c>
      <c r="B30" s="40" t="s">
        <v>1391</v>
      </c>
      <c r="C30" s="40" t="s">
        <v>1421</v>
      </c>
      <c r="D30" s="40" t="s">
        <v>1422</v>
      </c>
      <c r="E30" s="40" t="s">
        <v>1267</v>
      </c>
      <c r="F30" s="40" t="s">
        <v>1423</v>
      </c>
      <c r="G30" s="40" t="s">
        <v>1424</v>
      </c>
      <c r="H30" s="38" t="s">
        <v>1425</v>
      </c>
      <c r="I30" s="40" t="s">
        <v>102</v>
      </c>
      <c r="J30" s="40" t="s">
        <v>113</v>
      </c>
      <c r="K30" s="40" t="s">
        <v>180</v>
      </c>
      <c r="L30" s="37" t="s">
        <v>818</v>
      </c>
      <c r="M30" s="41">
        <v>46249</v>
      </c>
      <c r="N30" s="40" t="s">
        <v>146</v>
      </c>
      <c r="O30" s="69" t="s">
        <v>153</v>
      </c>
      <c r="P30" s="40" t="s">
        <v>1271</v>
      </c>
    </row>
    <row r="31" spans="1:16" ht="30" customHeight="1">
      <c r="A31" s="36" t="s">
        <v>1426</v>
      </c>
      <c r="B31" s="37" t="s">
        <v>1391</v>
      </c>
      <c r="C31" s="37" t="s">
        <v>1427</v>
      </c>
      <c r="D31" s="37" t="s">
        <v>1428</v>
      </c>
      <c r="E31" s="37" t="s">
        <v>1267</v>
      </c>
      <c r="F31" s="37" t="s">
        <v>1429</v>
      </c>
      <c r="G31" s="37" t="s">
        <v>1430</v>
      </c>
      <c r="H31" s="38" t="s">
        <v>1431</v>
      </c>
      <c r="I31" s="37" t="s">
        <v>102</v>
      </c>
      <c r="J31" s="37" t="s">
        <v>115</v>
      </c>
      <c r="K31" s="37" t="s">
        <v>201</v>
      </c>
      <c r="L31" s="37" t="s">
        <v>818</v>
      </c>
      <c r="M31" s="39">
        <v>46249</v>
      </c>
      <c r="N31" s="37" t="s">
        <v>146</v>
      </c>
      <c r="O31" s="68" t="s">
        <v>153</v>
      </c>
      <c r="P31" s="37" t="s">
        <v>1271</v>
      </c>
    </row>
    <row r="32" spans="1:16" ht="30" customHeight="1">
      <c r="A32" s="36" t="s">
        <v>1432</v>
      </c>
      <c r="B32" s="40" t="s">
        <v>1391</v>
      </c>
      <c r="C32" s="40" t="s">
        <v>1433</v>
      </c>
      <c r="D32" s="40" t="s">
        <v>1434</v>
      </c>
      <c r="E32" s="40" t="s">
        <v>1267</v>
      </c>
      <c r="F32" s="40" t="s">
        <v>1435</v>
      </c>
      <c r="G32" s="40" t="s">
        <v>1436</v>
      </c>
      <c r="H32" s="38" t="s">
        <v>1437</v>
      </c>
      <c r="I32" s="40" t="s">
        <v>102</v>
      </c>
      <c r="J32" s="40" t="s">
        <v>115</v>
      </c>
      <c r="K32" s="40" t="s">
        <v>201</v>
      </c>
      <c r="L32" s="37" t="s">
        <v>818</v>
      </c>
      <c r="M32" s="41">
        <v>46249</v>
      </c>
      <c r="N32" s="40" t="s">
        <v>146</v>
      </c>
      <c r="O32" s="69" t="s">
        <v>153</v>
      </c>
      <c r="P32" s="40" t="s">
        <v>1271</v>
      </c>
    </row>
    <row r="33" spans="1:16" ht="30" customHeight="1">
      <c r="A33" s="36" t="s">
        <v>1438</v>
      </c>
      <c r="B33" s="37" t="s">
        <v>1391</v>
      </c>
      <c r="C33" s="37" t="s">
        <v>1439</v>
      </c>
      <c r="D33" s="37" t="s">
        <v>1440</v>
      </c>
      <c r="E33" s="37" t="s">
        <v>1267</v>
      </c>
      <c r="F33" s="37" t="s">
        <v>1441</v>
      </c>
      <c r="G33" s="37" t="s">
        <v>1442</v>
      </c>
      <c r="H33" s="38" t="s">
        <v>1443</v>
      </c>
      <c r="I33" s="37" t="s">
        <v>102</v>
      </c>
      <c r="J33" s="37" t="s">
        <v>115</v>
      </c>
      <c r="K33" s="37" t="s">
        <v>201</v>
      </c>
      <c r="L33" s="37" t="s">
        <v>818</v>
      </c>
      <c r="M33" s="39">
        <v>46249</v>
      </c>
      <c r="N33" s="37" t="s">
        <v>146</v>
      </c>
      <c r="O33" s="68" t="s">
        <v>153</v>
      </c>
      <c r="P33" s="37" t="s">
        <v>1271</v>
      </c>
    </row>
    <row r="34" spans="1:16" ht="30" customHeight="1">
      <c r="A34" s="36" t="s">
        <v>1444</v>
      </c>
      <c r="B34" s="40" t="s">
        <v>1391</v>
      </c>
      <c r="C34" s="40" t="s">
        <v>1445</v>
      </c>
      <c r="D34" s="40" t="s">
        <v>1446</v>
      </c>
      <c r="E34" s="40" t="s">
        <v>1267</v>
      </c>
      <c r="F34" s="40" t="s">
        <v>1447</v>
      </c>
      <c r="G34" s="40" t="s">
        <v>1448</v>
      </c>
      <c r="H34" s="38" t="s">
        <v>1449</v>
      </c>
      <c r="I34" s="40" t="s">
        <v>102</v>
      </c>
      <c r="J34" s="40" t="s">
        <v>115</v>
      </c>
      <c r="K34" s="40" t="s">
        <v>201</v>
      </c>
      <c r="L34" s="37" t="s">
        <v>818</v>
      </c>
      <c r="M34" s="41">
        <v>46249</v>
      </c>
      <c r="N34" s="40" t="s">
        <v>146</v>
      </c>
      <c r="O34" s="69" t="s">
        <v>153</v>
      </c>
      <c r="P34" s="40" t="s">
        <v>1271</v>
      </c>
    </row>
    <row r="35" spans="1:16" ht="30" customHeight="1">
      <c r="A35" s="36" t="s">
        <v>1450</v>
      </c>
      <c r="B35" s="37" t="s">
        <v>1391</v>
      </c>
      <c r="C35" s="37" t="s">
        <v>1451</v>
      </c>
      <c r="D35" s="37" t="s">
        <v>1452</v>
      </c>
      <c r="E35" s="37" t="s">
        <v>1267</v>
      </c>
      <c r="F35" s="37" t="s">
        <v>1453</v>
      </c>
      <c r="G35" s="37" t="s">
        <v>1454</v>
      </c>
      <c r="H35" s="38" t="s">
        <v>1455</v>
      </c>
      <c r="I35" s="37" t="s">
        <v>102</v>
      </c>
      <c r="J35" s="37" t="s">
        <v>115</v>
      </c>
      <c r="K35" s="37" t="s">
        <v>201</v>
      </c>
      <c r="L35" s="37" t="s">
        <v>818</v>
      </c>
      <c r="M35" s="39">
        <v>46249</v>
      </c>
      <c r="N35" s="37" t="s">
        <v>146</v>
      </c>
      <c r="O35" s="68" t="s">
        <v>153</v>
      </c>
      <c r="P35" s="37" t="s">
        <v>1271</v>
      </c>
    </row>
    <row r="36" spans="1:16" ht="30" customHeight="1">
      <c r="A36" s="36" t="s">
        <v>1456</v>
      </c>
      <c r="B36" s="40" t="s">
        <v>1391</v>
      </c>
      <c r="C36" s="40" t="s">
        <v>1457</v>
      </c>
      <c r="D36" s="40" t="s">
        <v>1458</v>
      </c>
      <c r="E36" s="40" t="s">
        <v>1267</v>
      </c>
      <c r="F36" s="40" t="s">
        <v>1459</v>
      </c>
      <c r="G36" s="40" t="s">
        <v>1460</v>
      </c>
      <c r="H36" s="38" t="s">
        <v>1461</v>
      </c>
      <c r="I36" s="40" t="s">
        <v>102</v>
      </c>
      <c r="J36" s="40" t="s">
        <v>115</v>
      </c>
      <c r="K36" s="40" t="s">
        <v>201</v>
      </c>
      <c r="L36" s="37" t="s">
        <v>818</v>
      </c>
      <c r="M36" s="41">
        <v>46249</v>
      </c>
      <c r="N36" s="40" t="s">
        <v>146</v>
      </c>
      <c r="O36" s="69" t="s">
        <v>153</v>
      </c>
      <c r="P36" s="40" t="s">
        <v>1271</v>
      </c>
    </row>
    <row r="37" spans="1:16" ht="30" customHeight="1">
      <c r="A37" s="36" t="s">
        <v>1462</v>
      </c>
      <c r="B37" s="37" t="s">
        <v>1391</v>
      </c>
      <c r="C37" s="37" t="s">
        <v>1463</v>
      </c>
      <c r="D37" s="37" t="s">
        <v>1464</v>
      </c>
      <c r="E37" s="37" t="s">
        <v>1267</v>
      </c>
      <c r="F37" s="37" t="s">
        <v>1465</v>
      </c>
      <c r="G37" s="37" t="s">
        <v>1466</v>
      </c>
      <c r="H37" s="38" t="s">
        <v>1419</v>
      </c>
      <c r="I37" s="37" t="s">
        <v>102</v>
      </c>
      <c r="J37" s="37" t="s">
        <v>115</v>
      </c>
      <c r="K37" s="37" t="s">
        <v>201</v>
      </c>
      <c r="L37" s="37" t="s">
        <v>818</v>
      </c>
      <c r="M37" s="39">
        <v>46249</v>
      </c>
      <c r="N37" s="37" t="s">
        <v>146</v>
      </c>
      <c r="O37" s="68" t="s">
        <v>153</v>
      </c>
      <c r="P37" s="37" t="s">
        <v>1271</v>
      </c>
    </row>
    <row r="38" spans="1:16" ht="30" customHeight="1">
      <c r="A38" s="36" t="s">
        <v>1467</v>
      </c>
      <c r="B38" s="40" t="s">
        <v>1391</v>
      </c>
      <c r="C38" s="40" t="s">
        <v>1468</v>
      </c>
      <c r="D38" s="40" t="s">
        <v>1469</v>
      </c>
      <c r="E38" s="40" t="s">
        <v>1267</v>
      </c>
      <c r="F38" s="40" t="s">
        <v>1470</v>
      </c>
      <c r="G38" s="40" t="s">
        <v>1471</v>
      </c>
      <c r="H38" s="38" t="s">
        <v>1413</v>
      </c>
      <c r="I38" s="40" t="s">
        <v>102</v>
      </c>
      <c r="J38" s="40" t="s">
        <v>115</v>
      </c>
      <c r="K38" s="40" t="s">
        <v>201</v>
      </c>
      <c r="L38" s="37" t="s">
        <v>818</v>
      </c>
      <c r="M38" s="41">
        <v>46249</v>
      </c>
      <c r="N38" s="40" t="s">
        <v>146</v>
      </c>
      <c r="O38" s="69" t="s">
        <v>153</v>
      </c>
      <c r="P38" s="40" t="s">
        <v>1271</v>
      </c>
    </row>
    <row r="39" spans="1:16" ht="30" customHeight="1">
      <c r="A39" s="36" t="s">
        <v>1472</v>
      </c>
      <c r="B39" s="37" t="s">
        <v>1391</v>
      </c>
      <c r="C39" s="37" t="s">
        <v>1473</v>
      </c>
      <c r="D39" s="37" t="s">
        <v>1474</v>
      </c>
      <c r="E39" s="37" t="s">
        <v>1267</v>
      </c>
      <c r="F39" s="37" t="s">
        <v>1475</v>
      </c>
      <c r="G39" s="37" t="s">
        <v>1476</v>
      </c>
      <c r="H39" s="38" t="s">
        <v>1477</v>
      </c>
      <c r="I39" s="37" t="s">
        <v>102</v>
      </c>
      <c r="J39" s="37" t="s">
        <v>115</v>
      </c>
      <c r="K39" s="37" t="s">
        <v>201</v>
      </c>
      <c r="L39" s="37" t="s">
        <v>818</v>
      </c>
      <c r="M39" s="39">
        <v>46249</v>
      </c>
      <c r="N39" s="37" t="s">
        <v>146</v>
      </c>
      <c r="O39" s="68" t="s">
        <v>153</v>
      </c>
      <c r="P39" s="37" t="s">
        <v>1271</v>
      </c>
    </row>
    <row r="40" spans="1:16" ht="30" customHeight="1">
      <c r="A40" s="36" t="s">
        <v>1478</v>
      </c>
      <c r="B40" s="40" t="s">
        <v>1479</v>
      </c>
      <c r="C40" s="40" t="s">
        <v>1480</v>
      </c>
      <c r="D40" s="40" t="s">
        <v>1481</v>
      </c>
      <c r="E40" s="40" t="s">
        <v>1267</v>
      </c>
      <c r="F40" s="40" t="s">
        <v>1482</v>
      </c>
      <c r="G40" s="40" t="s">
        <v>1483</v>
      </c>
      <c r="H40" s="38" t="s">
        <v>1484</v>
      </c>
      <c r="I40" s="40" t="s">
        <v>102</v>
      </c>
      <c r="J40" s="40" t="s">
        <v>115</v>
      </c>
      <c r="K40" s="40" t="s">
        <v>201</v>
      </c>
      <c r="L40" s="37" t="s">
        <v>818</v>
      </c>
      <c r="M40" s="41">
        <v>46249</v>
      </c>
      <c r="N40" s="40" t="s">
        <v>146</v>
      </c>
      <c r="O40" s="69" t="s">
        <v>153</v>
      </c>
      <c r="P40" s="40" t="s">
        <v>1271</v>
      </c>
    </row>
    <row r="41" spans="1:16" ht="30" customHeight="1">
      <c r="A41" s="36" t="s">
        <v>1485</v>
      </c>
      <c r="B41" s="37" t="s">
        <v>1479</v>
      </c>
      <c r="C41" s="37" t="s">
        <v>1486</v>
      </c>
      <c r="D41" s="37" t="s">
        <v>1487</v>
      </c>
      <c r="E41" s="37" t="s">
        <v>1267</v>
      </c>
      <c r="F41" s="37" t="s">
        <v>1488</v>
      </c>
      <c r="G41" s="37" t="s">
        <v>1489</v>
      </c>
      <c r="H41" s="38" t="s">
        <v>1490</v>
      </c>
      <c r="I41" s="37" t="s">
        <v>102</v>
      </c>
      <c r="J41" s="37" t="s">
        <v>115</v>
      </c>
      <c r="K41" s="37" t="s">
        <v>201</v>
      </c>
      <c r="L41" s="37" t="s">
        <v>818</v>
      </c>
      <c r="M41" s="39">
        <v>46249</v>
      </c>
      <c r="N41" s="37" t="s">
        <v>146</v>
      </c>
      <c r="O41" s="68" t="s">
        <v>153</v>
      </c>
      <c r="P41" s="37" t="s">
        <v>1271</v>
      </c>
    </row>
    <row r="42" spans="1:16" ht="30" customHeight="1">
      <c r="A42" s="36" t="s">
        <v>1491</v>
      </c>
      <c r="B42" s="40" t="s">
        <v>1479</v>
      </c>
      <c r="C42" s="40" t="s">
        <v>1492</v>
      </c>
      <c r="D42" s="40" t="s">
        <v>1493</v>
      </c>
      <c r="E42" s="40" t="s">
        <v>1267</v>
      </c>
      <c r="F42" s="40" t="s">
        <v>1494</v>
      </c>
      <c r="G42" s="40" t="s">
        <v>1495</v>
      </c>
      <c r="H42" s="38" t="s">
        <v>1496</v>
      </c>
      <c r="I42" s="40" t="s">
        <v>102</v>
      </c>
      <c r="J42" s="40" t="s">
        <v>115</v>
      </c>
      <c r="K42" s="40" t="s">
        <v>201</v>
      </c>
      <c r="L42" s="37" t="s">
        <v>818</v>
      </c>
      <c r="M42" s="41">
        <v>46249</v>
      </c>
      <c r="N42" s="40" t="s">
        <v>146</v>
      </c>
      <c r="O42" s="69" t="s">
        <v>153</v>
      </c>
      <c r="P42" s="40" t="s">
        <v>1271</v>
      </c>
    </row>
    <row r="43" spans="1:16" ht="30" customHeight="1">
      <c r="A43" s="36" t="s">
        <v>1497</v>
      </c>
      <c r="B43" s="37" t="s">
        <v>1479</v>
      </c>
      <c r="C43" s="37" t="s">
        <v>1498</v>
      </c>
      <c r="D43" s="37" t="s">
        <v>1499</v>
      </c>
      <c r="E43" s="37" t="s">
        <v>1267</v>
      </c>
      <c r="F43" s="37" t="s">
        <v>1482</v>
      </c>
      <c r="G43" s="37" t="s">
        <v>1500</v>
      </c>
      <c r="H43" s="38" t="s">
        <v>1501</v>
      </c>
      <c r="I43" s="37" t="s">
        <v>102</v>
      </c>
      <c r="J43" s="37" t="s">
        <v>115</v>
      </c>
      <c r="K43" s="37" t="s">
        <v>201</v>
      </c>
      <c r="L43" s="37" t="s">
        <v>818</v>
      </c>
      <c r="M43" s="39">
        <v>46249</v>
      </c>
      <c r="N43" s="37" t="s">
        <v>146</v>
      </c>
      <c r="O43" s="68" t="s">
        <v>153</v>
      </c>
      <c r="P43" s="37" t="s">
        <v>1271</v>
      </c>
    </row>
    <row r="44" spans="1:16" ht="30" customHeight="1">
      <c r="A44" s="36" t="s">
        <v>1502</v>
      </c>
      <c r="B44" s="40" t="s">
        <v>1479</v>
      </c>
      <c r="C44" s="40" t="s">
        <v>1503</v>
      </c>
      <c r="D44" s="40" t="s">
        <v>1504</v>
      </c>
      <c r="E44" s="40" t="s">
        <v>1267</v>
      </c>
      <c r="F44" s="40" t="s">
        <v>1505</v>
      </c>
      <c r="G44" s="40" t="s">
        <v>1506</v>
      </c>
      <c r="H44" s="38" t="s">
        <v>1507</v>
      </c>
      <c r="I44" s="40" t="s">
        <v>102</v>
      </c>
      <c r="J44" s="40" t="s">
        <v>115</v>
      </c>
      <c r="K44" s="40" t="s">
        <v>201</v>
      </c>
      <c r="L44" s="37" t="s">
        <v>818</v>
      </c>
      <c r="M44" s="41">
        <v>46249</v>
      </c>
      <c r="N44" s="40" t="s">
        <v>146</v>
      </c>
      <c r="O44" s="69" t="s">
        <v>153</v>
      </c>
      <c r="P44" s="40" t="s">
        <v>1271</v>
      </c>
    </row>
    <row r="45" spans="1:16" ht="30" customHeight="1">
      <c r="A45" s="36" t="s">
        <v>1508</v>
      </c>
      <c r="B45" s="37" t="s">
        <v>1479</v>
      </c>
      <c r="C45" s="37" t="s">
        <v>1509</v>
      </c>
      <c r="D45" s="37" t="s">
        <v>1510</v>
      </c>
      <c r="E45" s="37" t="s">
        <v>1267</v>
      </c>
      <c r="F45" s="37" t="s">
        <v>1511</v>
      </c>
      <c r="G45" s="37" t="s">
        <v>1512</v>
      </c>
      <c r="H45" s="38" t="s">
        <v>1513</v>
      </c>
      <c r="I45" s="37" t="s">
        <v>102</v>
      </c>
      <c r="J45" s="37" t="s">
        <v>113</v>
      </c>
      <c r="K45" s="37" t="s">
        <v>180</v>
      </c>
      <c r="L45" s="37" t="s">
        <v>818</v>
      </c>
      <c r="M45" s="39">
        <v>46249</v>
      </c>
      <c r="N45" s="37" t="s">
        <v>146</v>
      </c>
      <c r="O45" s="68" t="s">
        <v>153</v>
      </c>
      <c r="P45" s="37" t="s">
        <v>1271</v>
      </c>
    </row>
    <row r="46" spans="1:16" ht="30" customHeight="1">
      <c r="A46" s="36" t="s">
        <v>1514</v>
      </c>
      <c r="B46" s="40" t="s">
        <v>1479</v>
      </c>
      <c r="C46" s="40" t="s">
        <v>1515</v>
      </c>
      <c r="D46" s="40" t="s">
        <v>1516</v>
      </c>
      <c r="E46" s="40" t="s">
        <v>1267</v>
      </c>
      <c r="F46" s="40" t="s">
        <v>1517</v>
      </c>
      <c r="G46" s="40" t="s">
        <v>1518</v>
      </c>
      <c r="H46" s="38" t="s">
        <v>1519</v>
      </c>
      <c r="I46" s="40" t="s">
        <v>102</v>
      </c>
      <c r="J46" s="40" t="s">
        <v>115</v>
      </c>
      <c r="K46" s="40" t="s">
        <v>201</v>
      </c>
      <c r="L46" s="37" t="s">
        <v>818</v>
      </c>
      <c r="M46" s="41">
        <v>46249</v>
      </c>
      <c r="N46" s="40" t="s">
        <v>146</v>
      </c>
      <c r="O46" s="69" t="s">
        <v>153</v>
      </c>
      <c r="P46" s="40" t="s">
        <v>1271</v>
      </c>
    </row>
    <row r="47" spans="1:16" ht="30" customHeight="1">
      <c r="A47" s="36" t="s">
        <v>1520</v>
      </c>
      <c r="B47" s="37" t="s">
        <v>1521</v>
      </c>
      <c r="C47" s="37" t="s">
        <v>1522</v>
      </c>
      <c r="D47" s="37" t="s">
        <v>1523</v>
      </c>
      <c r="E47" s="37" t="s">
        <v>1267</v>
      </c>
      <c r="F47" s="37" t="s">
        <v>1344</v>
      </c>
      <c r="G47" s="37" t="s">
        <v>1524</v>
      </c>
      <c r="H47" s="38" t="s">
        <v>1525</v>
      </c>
      <c r="I47" s="37" t="s">
        <v>102</v>
      </c>
      <c r="J47" s="37" t="s">
        <v>113</v>
      </c>
      <c r="K47" s="37" t="s">
        <v>180</v>
      </c>
      <c r="L47" s="37" t="s">
        <v>818</v>
      </c>
      <c r="M47" s="39">
        <v>46249</v>
      </c>
      <c r="N47" s="37" t="s">
        <v>146</v>
      </c>
      <c r="O47" s="68" t="s">
        <v>153</v>
      </c>
      <c r="P47" s="37" t="s">
        <v>1271</v>
      </c>
    </row>
    <row r="48" spans="1:16" ht="30" customHeight="1">
      <c r="A48" s="36" t="s">
        <v>1526</v>
      </c>
      <c r="B48" s="40" t="s">
        <v>1521</v>
      </c>
      <c r="C48" s="40" t="s">
        <v>1527</v>
      </c>
      <c r="D48" s="40" t="s">
        <v>1528</v>
      </c>
      <c r="E48" s="40" t="s">
        <v>1267</v>
      </c>
      <c r="F48" s="40" t="s">
        <v>1529</v>
      </c>
      <c r="G48" s="40" t="s">
        <v>1530</v>
      </c>
      <c r="H48" s="38" t="s">
        <v>1531</v>
      </c>
      <c r="I48" s="40" t="s">
        <v>102</v>
      </c>
      <c r="J48" s="40" t="s">
        <v>115</v>
      </c>
      <c r="K48" s="40" t="s">
        <v>201</v>
      </c>
      <c r="L48" s="37" t="s">
        <v>818</v>
      </c>
      <c r="M48" s="41">
        <v>46249</v>
      </c>
      <c r="N48" s="40" t="s">
        <v>146</v>
      </c>
      <c r="O48" s="69" t="s">
        <v>153</v>
      </c>
      <c r="P48" s="40" t="s">
        <v>1271</v>
      </c>
    </row>
    <row r="49" spans="1:16" ht="30" customHeight="1">
      <c r="A49" s="36" t="s">
        <v>1532</v>
      </c>
      <c r="B49" s="37" t="s">
        <v>1521</v>
      </c>
      <c r="C49" s="37" t="s">
        <v>1533</v>
      </c>
      <c r="D49" s="37" t="s">
        <v>1534</v>
      </c>
      <c r="E49" s="37" t="s">
        <v>1267</v>
      </c>
      <c r="F49" s="37" t="s">
        <v>1535</v>
      </c>
      <c r="G49" s="37" t="s">
        <v>1536</v>
      </c>
      <c r="H49" s="38" t="s">
        <v>1537</v>
      </c>
      <c r="I49" s="37" t="s">
        <v>102</v>
      </c>
      <c r="J49" s="37" t="s">
        <v>115</v>
      </c>
      <c r="K49" s="37" t="s">
        <v>201</v>
      </c>
      <c r="L49" s="37" t="s">
        <v>818</v>
      </c>
      <c r="M49" s="39">
        <v>46249</v>
      </c>
      <c r="N49" s="37" t="s">
        <v>146</v>
      </c>
      <c r="O49" s="68" t="s">
        <v>153</v>
      </c>
      <c r="P49" s="37" t="s">
        <v>1271</v>
      </c>
    </row>
    <row r="50" spans="1:16" ht="30" customHeight="1">
      <c r="A50" s="36" t="s">
        <v>1538</v>
      </c>
      <c r="B50" s="40" t="s">
        <v>1521</v>
      </c>
      <c r="C50" s="40" t="s">
        <v>1539</v>
      </c>
      <c r="D50" s="40" t="s">
        <v>1540</v>
      </c>
      <c r="E50" s="40" t="s">
        <v>1267</v>
      </c>
      <c r="F50" s="40" t="s">
        <v>1541</v>
      </c>
      <c r="G50" s="40" t="s">
        <v>1542</v>
      </c>
      <c r="H50" s="38" t="s">
        <v>1543</v>
      </c>
      <c r="I50" s="40" t="s">
        <v>102</v>
      </c>
      <c r="J50" s="40" t="s">
        <v>115</v>
      </c>
      <c r="K50" s="40" t="s">
        <v>201</v>
      </c>
      <c r="L50" s="37" t="s">
        <v>818</v>
      </c>
      <c r="M50" s="41">
        <v>46249</v>
      </c>
      <c r="N50" s="40" t="s">
        <v>146</v>
      </c>
      <c r="O50" s="69" t="s">
        <v>153</v>
      </c>
      <c r="P50" s="40" t="s">
        <v>1271</v>
      </c>
    </row>
    <row r="51" spans="1:16" ht="30" customHeight="1">
      <c r="A51" s="36" t="s">
        <v>1544</v>
      </c>
      <c r="B51" s="37" t="s">
        <v>1521</v>
      </c>
      <c r="C51" s="37" t="s">
        <v>1545</v>
      </c>
      <c r="D51" s="37" t="s">
        <v>1546</v>
      </c>
      <c r="E51" s="37" t="s">
        <v>1267</v>
      </c>
      <c r="F51" s="37" t="s">
        <v>1547</v>
      </c>
      <c r="G51" s="37" t="s">
        <v>1548</v>
      </c>
      <c r="H51" s="38" t="s">
        <v>1549</v>
      </c>
      <c r="I51" s="70" t="s">
        <v>104</v>
      </c>
      <c r="J51" s="37" t="s">
        <v>115</v>
      </c>
      <c r="K51" s="37" t="s">
        <v>201</v>
      </c>
      <c r="L51" s="37" t="s">
        <v>818</v>
      </c>
      <c r="M51" s="39">
        <v>46249</v>
      </c>
      <c r="N51" s="37" t="s">
        <v>146</v>
      </c>
      <c r="O51" s="37" t="s">
        <v>1550</v>
      </c>
      <c r="P51" s="37" t="s">
        <v>1551</v>
      </c>
    </row>
    <row r="52" spans="1:16" ht="30" customHeight="1">
      <c r="A52" s="36" t="s">
        <v>1552</v>
      </c>
      <c r="B52" s="40" t="s">
        <v>1553</v>
      </c>
      <c r="C52" s="40" t="s">
        <v>1554</v>
      </c>
      <c r="D52" s="40" t="s">
        <v>1555</v>
      </c>
      <c r="E52" s="40" t="s">
        <v>1267</v>
      </c>
      <c r="F52" s="40" t="s">
        <v>1556</v>
      </c>
      <c r="G52" s="40" t="s">
        <v>1557</v>
      </c>
      <c r="H52" s="38" t="s">
        <v>1558</v>
      </c>
      <c r="I52" s="40" t="s">
        <v>102</v>
      </c>
      <c r="J52" s="40" t="s">
        <v>115</v>
      </c>
      <c r="K52" s="40" t="s">
        <v>201</v>
      </c>
      <c r="L52" s="37" t="s">
        <v>818</v>
      </c>
      <c r="M52" s="41">
        <v>46249</v>
      </c>
      <c r="N52" s="40" t="s">
        <v>146</v>
      </c>
      <c r="O52" s="69" t="s">
        <v>153</v>
      </c>
      <c r="P52" s="40" t="s">
        <v>1271</v>
      </c>
    </row>
    <row r="53" spans="1:16" ht="30" customHeight="1">
      <c r="A53" s="36" t="s">
        <v>1559</v>
      </c>
      <c r="B53" s="37" t="s">
        <v>1553</v>
      </c>
      <c r="C53" s="37" t="s">
        <v>1560</v>
      </c>
      <c r="D53" s="37" t="s">
        <v>1561</v>
      </c>
      <c r="E53" s="37" t="s">
        <v>1267</v>
      </c>
      <c r="F53" s="37" t="s">
        <v>1562</v>
      </c>
      <c r="G53" s="37" t="s">
        <v>1563</v>
      </c>
      <c r="H53" s="38" t="s">
        <v>1564</v>
      </c>
      <c r="I53" s="37" t="s">
        <v>102</v>
      </c>
      <c r="J53" s="37" t="s">
        <v>115</v>
      </c>
      <c r="K53" s="37" t="s">
        <v>201</v>
      </c>
      <c r="L53" s="37" t="s">
        <v>818</v>
      </c>
      <c r="M53" s="39">
        <v>46249</v>
      </c>
      <c r="N53" s="37" t="s">
        <v>146</v>
      </c>
      <c r="O53" s="68" t="s">
        <v>153</v>
      </c>
      <c r="P53" s="37" t="s">
        <v>1271</v>
      </c>
    </row>
    <row r="54" spans="1:16" ht="30" customHeight="1">
      <c r="A54" s="36" t="s">
        <v>1565</v>
      </c>
      <c r="B54" s="40" t="s">
        <v>1553</v>
      </c>
      <c r="C54" s="40" t="s">
        <v>1566</v>
      </c>
      <c r="D54" s="40" t="s">
        <v>1567</v>
      </c>
      <c r="E54" s="40" t="s">
        <v>1267</v>
      </c>
      <c r="F54" s="40" t="s">
        <v>1482</v>
      </c>
      <c r="G54" s="40" t="s">
        <v>1568</v>
      </c>
      <c r="H54" s="38" t="s">
        <v>1569</v>
      </c>
      <c r="I54" s="40" t="s">
        <v>102</v>
      </c>
      <c r="J54" s="40" t="s">
        <v>115</v>
      </c>
      <c r="K54" s="40" t="s">
        <v>201</v>
      </c>
      <c r="L54" s="37" t="s">
        <v>818</v>
      </c>
      <c r="M54" s="41">
        <v>46249</v>
      </c>
      <c r="N54" s="40" t="s">
        <v>146</v>
      </c>
      <c r="O54" s="69" t="s">
        <v>153</v>
      </c>
      <c r="P54" s="40" t="s">
        <v>1271</v>
      </c>
    </row>
    <row r="55" spans="1:16" ht="30" customHeight="1">
      <c r="A55" s="36" t="s">
        <v>1570</v>
      </c>
      <c r="B55" s="37" t="s">
        <v>1571</v>
      </c>
      <c r="C55" s="37" t="s">
        <v>1572</v>
      </c>
      <c r="D55" s="37" t="s">
        <v>1573</v>
      </c>
      <c r="E55" s="37" t="s">
        <v>1267</v>
      </c>
      <c r="F55" s="37" t="s">
        <v>1574</v>
      </c>
      <c r="G55" s="37" t="s">
        <v>1575</v>
      </c>
      <c r="H55" s="38" t="s">
        <v>1576</v>
      </c>
      <c r="I55" s="37" t="s">
        <v>102</v>
      </c>
      <c r="J55" s="37" t="s">
        <v>113</v>
      </c>
      <c r="K55" s="37" t="s">
        <v>180</v>
      </c>
      <c r="L55" s="37" t="s">
        <v>818</v>
      </c>
      <c r="M55" s="39">
        <v>46249</v>
      </c>
      <c r="N55" s="37" t="s">
        <v>146</v>
      </c>
      <c r="O55" s="68" t="s">
        <v>153</v>
      </c>
      <c r="P55" s="37" t="s">
        <v>1271</v>
      </c>
    </row>
    <row r="56" spans="1:16" ht="30" customHeight="1">
      <c r="A56" s="36" t="s">
        <v>1577</v>
      </c>
      <c r="B56" s="40" t="s">
        <v>1571</v>
      </c>
      <c r="C56" s="40" t="s">
        <v>1578</v>
      </c>
      <c r="D56" s="40" t="s">
        <v>1579</v>
      </c>
      <c r="E56" s="40" t="s">
        <v>1267</v>
      </c>
      <c r="F56" s="40" t="s">
        <v>1580</v>
      </c>
      <c r="G56" s="40" t="s">
        <v>1581</v>
      </c>
      <c r="H56" s="38" t="s">
        <v>1582</v>
      </c>
      <c r="I56" s="40" t="s">
        <v>102</v>
      </c>
      <c r="J56" s="40" t="s">
        <v>115</v>
      </c>
      <c r="K56" s="40" t="s">
        <v>201</v>
      </c>
      <c r="L56" s="37" t="s">
        <v>818</v>
      </c>
      <c r="M56" s="41">
        <v>46249</v>
      </c>
      <c r="N56" s="40" t="s">
        <v>146</v>
      </c>
      <c r="O56" s="69" t="s">
        <v>153</v>
      </c>
      <c r="P56" s="40" t="s">
        <v>1271</v>
      </c>
    </row>
    <row r="57" spans="1:16" ht="30" customHeight="1">
      <c r="A57" s="36" t="s">
        <v>1583</v>
      </c>
      <c r="B57" s="37" t="s">
        <v>1571</v>
      </c>
      <c r="C57" s="37" t="s">
        <v>1584</v>
      </c>
      <c r="D57" s="37" t="s">
        <v>1585</v>
      </c>
      <c r="E57" s="37" t="s">
        <v>1267</v>
      </c>
      <c r="F57" s="37" t="s">
        <v>1586</v>
      </c>
      <c r="G57" s="37" t="s">
        <v>1587</v>
      </c>
      <c r="H57" s="38" t="s">
        <v>1588</v>
      </c>
      <c r="I57" s="37" t="s">
        <v>102</v>
      </c>
      <c r="J57" s="37" t="s">
        <v>115</v>
      </c>
      <c r="K57" s="37" t="s">
        <v>201</v>
      </c>
      <c r="L57" s="37" t="s">
        <v>818</v>
      </c>
      <c r="M57" s="39">
        <v>46249</v>
      </c>
      <c r="N57" s="37" t="s">
        <v>146</v>
      </c>
      <c r="O57" s="68" t="s">
        <v>153</v>
      </c>
      <c r="P57" s="37" t="s">
        <v>1271</v>
      </c>
    </row>
    <row r="58" spans="1:16" ht="30" customHeight="1">
      <c r="A58" s="36" t="s">
        <v>1589</v>
      </c>
      <c r="B58" s="40" t="s">
        <v>1571</v>
      </c>
      <c r="C58" s="40" t="s">
        <v>1590</v>
      </c>
      <c r="D58" s="40" t="s">
        <v>1591</v>
      </c>
      <c r="E58" s="40" t="s">
        <v>1267</v>
      </c>
      <c r="F58" s="40" t="s">
        <v>1592</v>
      </c>
      <c r="G58" s="40" t="s">
        <v>1593</v>
      </c>
      <c r="H58" s="38" t="s">
        <v>1594</v>
      </c>
      <c r="I58" s="40" t="s">
        <v>102</v>
      </c>
      <c r="J58" s="40" t="s">
        <v>113</v>
      </c>
      <c r="K58" s="40" t="s">
        <v>180</v>
      </c>
      <c r="L58" s="37" t="s">
        <v>818</v>
      </c>
      <c r="M58" s="41">
        <v>46249</v>
      </c>
      <c r="N58" s="40" t="s">
        <v>146</v>
      </c>
      <c r="O58" s="69" t="s">
        <v>153</v>
      </c>
      <c r="P58" s="40" t="s">
        <v>1271</v>
      </c>
    </row>
    <row r="59" spans="1:16" ht="30" customHeight="1">
      <c r="A59" s="36" t="s">
        <v>1595</v>
      </c>
      <c r="B59" s="37" t="s">
        <v>1596</v>
      </c>
      <c r="C59" s="37" t="s">
        <v>1597</v>
      </c>
      <c r="D59" s="37" t="s">
        <v>1598</v>
      </c>
      <c r="E59" s="37" t="s">
        <v>1267</v>
      </c>
      <c r="F59" s="37" t="s">
        <v>1599</v>
      </c>
      <c r="G59" s="37" t="s">
        <v>1600</v>
      </c>
      <c r="H59" s="38" t="s">
        <v>1601</v>
      </c>
      <c r="I59" s="37" t="s">
        <v>102</v>
      </c>
      <c r="J59" s="37" t="s">
        <v>113</v>
      </c>
      <c r="K59" s="37" t="s">
        <v>180</v>
      </c>
      <c r="L59" s="37" t="s">
        <v>818</v>
      </c>
      <c r="M59" s="39">
        <v>46249</v>
      </c>
      <c r="N59" s="37" t="s">
        <v>146</v>
      </c>
      <c r="O59" s="68" t="s">
        <v>153</v>
      </c>
      <c r="P59" s="37" t="s">
        <v>1271</v>
      </c>
    </row>
    <row r="60" spans="1:16" ht="30" customHeight="1">
      <c r="A60" s="36" t="s">
        <v>1602</v>
      </c>
      <c r="B60" s="40" t="s">
        <v>1596</v>
      </c>
      <c r="C60" s="40" t="s">
        <v>1603</v>
      </c>
      <c r="D60" s="40" t="s">
        <v>1604</v>
      </c>
      <c r="E60" s="40" t="s">
        <v>1267</v>
      </c>
      <c r="F60" s="40" t="s">
        <v>1605</v>
      </c>
      <c r="G60" s="40" t="s">
        <v>1606</v>
      </c>
      <c r="H60" s="38" t="s">
        <v>1607</v>
      </c>
      <c r="I60" s="40" t="s">
        <v>102</v>
      </c>
      <c r="J60" s="40" t="s">
        <v>113</v>
      </c>
      <c r="K60" s="40" t="s">
        <v>180</v>
      </c>
      <c r="L60" s="37" t="s">
        <v>818</v>
      </c>
      <c r="M60" s="41">
        <v>46249</v>
      </c>
      <c r="N60" s="40" t="s">
        <v>146</v>
      </c>
      <c r="O60" s="69" t="s">
        <v>153</v>
      </c>
      <c r="P60" s="40" t="s">
        <v>1271</v>
      </c>
    </row>
    <row r="61" spans="1:16" ht="30" customHeight="1">
      <c r="A61" s="36" t="s">
        <v>1608</v>
      </c>
      <c r="B61" s="37" t="s">
        <v>1596</v>
      </c>
      <c r="C61" s="37" t="s">
        <v>1609</v>
      </c>
      <c r="D61" s="37" t="s">
        <v>1610</v>
      </c>
      <c r="E61" s="37" t="s">
        <v>1267</v>
      </c>
      <c r="F61" s="37" t="s">
        <v>1611</v>
      </c>
      <c r="G61" s="37" t="s">
        <v>1612</v>
      </c>
      <c r="H61" s="38" t="s">
        <v>1613</v>
      </c>
      <c r="I61" s="37" t="s">
        <v>102</v>
      </c>
      <c r="J61" s="37" t="s">
        <v>113</v>
      </c>
      <c r="K61" s="37" t="s">
        <v>180</v>
      </c>
      <c r="L61" s="37" t="s">
        <v>818</v>
      </c>
      <c r="M61" s="39">
        <v>46249</v>
      </c>
      <c r="N61" s="37" t="s">
        <v>146</v>
      </c>
      <c r="O61" s="68" t="s">
        <v>153</v>
      </c>
      <c r="P61" s="37" t="s">
        <v>1271</v>
      </c>
    </row>
    <row r="62" spans="1:16" ht="30" customHeight="1">
      <c r="A62" s="36" t="s">
        <v>1614</v>
      </c>
      <c r="B62" s="40" t="s">
        <v>1615</v>
      </c>
      <c r="C62" s="40" t="s">
        <v>1616</v>
      </c>
      <c r="D62" s="40" t="s">
        <v>1617</v>
      </c>
      <c r="E62" s="40" t="s">
        <v>1267</v>
      </c>
      <c r="F62" s="40" t="s">
        <v>1618</v>
      </c>
      <c r="G62" s="40" t="s">
        <v>1619</v>
      </c>
      <c r="H62" s="38" t="s">
        <v>1620</v>
      </c>
      <c r="I62" s="40" t="s">
        <v>102</v>
      </c>
      <c r="J62" s="40" t="s">
        <v>113</v>
      </c>
      <c r="K62" s="40" t="s">
        <v>180</v>
      </c>
      <c r="L62" s="37" t="s">
        <v>818</v>
      </c>
      <c r="M62" s="41">
        <v>46249</v>
      </c>
      <c r="N62" s="40" t="s">
        <v>146</v>
      </c>
      <c r="O62" s="69" t="s">
        <v>153</v>
      </c>
      <c r="P62" s="40" t="s">
        <v>1271</v>
      </c>
    </row>
    <row r="63" spans="1:16" ht="30" customHeight="1">
      <c r="A63" s="36" t="s">
        <v>1621</v>
      </c>
      <c r="B63" s="37" t="s">
        <v>1622</v>
      </c>
      <c r="C63" s="37" t="s">
        <v>1623</v>
      </c>
      <c r="D63" s="37" t="s">
        <v>1624</v>
      </c>
      <c r="E63" s="37" t="s">
        <v>1267</v>
      </c>
      <c r="F63" s="37" t="s">
        <v>1625</v>
      </c>
      <c r="G63" s="37" t="s">
        <v>1626</v>
      </c>
      <c r="H63" s="38" t="s">
        <v>1627</v>
      </c>
      <c r="I63" s="37" t="s">
        <v>102</v>
      </c>
      <c r="J63" s="37" t="s">
        <v>113</v>
      </c>
      <c r="K63" s="37" t="s">
        <v>180</v>
      </c>
      <c r="L63" s="37" t="s">
        <v>818</v>
      </c>
      <c r="M63" s="39">
        <v>46249</v>
      </c>
      <c r="N63" s="37" t="s">
        <v>146</v>
      </c>
      <c r="O63" s="68" t="s">
        <v>153</v>
      </c>
      <c r="P63" s="37" t="s">
        <v>1271</v>
      </c>
    </row>
    <row r="64" spans="1:16" ht="30" customHeight="1">
      <c r="A64" s="36" t="s">
        <v>1628</v>
      </c>
      <c r="B64" s="40" t="s">
        <v>1629</v>
      </c>
      <c r="C64" s="40" t="s">
        <v>1630</v>
      </c>
      <c r="D64" s="40" t="s">
        <v>1631</v>
      </c>
      <c r="E64" s="40" t="s">
        <v>1267</v>
      </c>
      <c r="F64" s="40" t="s">
        <v>1632</v>
      </c>
      <c r="G64" s="40" t="s">
        <v>1633</v>
      </c>
      <c r="H64" s="38" t="s">
        <v>1634</v>
      </c>
      <c r="I64" s="71" t="s">
        <v>104</v>
      </c>
      <c r="J64" s="40" t="s">
        <v>113</v>
      </c>
      <c r="K64" s="40" t="s">
        <v>180</v>
      </c>
      <c r="L64" s="37" t="s">
        <v>818</v>
      </c>
      <c r="M64" s="41">
        <v>46249</v>
      </c>
      <c r="N64" s="40" t="s">
        <v>146</v>
      </c>
      <c r="O64" s="40" t="s">
        <v>1635</v>
      </c>
      <c r="P64" s="40" t="s">
        <v>1636</v>
      </c>
    </row>
    <row r="65" spans="1:16" ht="30" customHeight="1">
      <c r="A65" s="34"/>
      <c r="B65" s="34"/>
      <c r="C65" s="34"/>
      <c r="D65" s="34"/>
      <c r="E65" s="34"/>
      <c r="F65" s="34"/>
      <c r="G65" s="34"/>
      <c r="H65" s="34"/>
      <c r="I65" s="34"/>
      <c r="J65" s="34"/>
      <c r="K65" s="34"/>
      <c r="L65" s="34"/>
      <c r="M65" s="35"/>
      <c r="N65" s="34"/>
      <c r="O65" s="34"/>
      <c r="P65" s="34"/>
    </row>
    <row r="66" spans="1:16" ht="30" customHeight="1">
      <c r="A66" s="34"/>
      <c r="B66" s="34"/>
      <c r="C66" s="34"/>
      <c r="D66" s="34"/>
      <c r="E66" s="34"/>
      <c r="F66" s="34"/>
      <c r="G66" s="34"/>
      <c r="H66" s="34"/>
      <c r="I66" s="34"/>
      <c r="J66" s="34"/>
      <c r="K66" s="34"/>
      <c r="L66" s="34"/>
      <c r="M66" s="35"/>
      <c r="N66" s="34"/>
      <c r="O66" s="34"/>
      <c r="P66" s="34"/>
    </row>
    <row r="67" spans="1:16" ht="30" customHeight="1">
      <c r="A67" s="34"/>
      <c r="B67" s="34"/>
      <c r="C67" s="34"/>
      <c r="D67" s="34"/>
      <c r="E67" s="34"/>
      <c r="F67" s="34"/>
      <c r="G67" s="34"/>
      <c r="H67" s="34"/>
      <c r="I67" s="34"/>
      <c r="J67" s="34"/>
      <c r="K67" s="34"/>
      <c r="L67" s="34"/>
      <c r="M67" s="35"/>
      <c r="N67" s="34"/>
      <c r="O67" s="34"/>
      <c r="P67" s="34"/>
    </row>
    <row r="68" spans="1:16" ht="30" customHeight="1">
      <c r="A68" s="34"/>
      <c r="B68" s="34"/>
      <c r="C68" s="34"/>
      <c r="D68" s="34"/>
      <c r="E68" s="34"/>
      <c r="F68" s="34"/>
      <c r="G68" s="34"/>
      <c r="H68" s="34"/>
      <c r="I68" s="34"/>
      <c r="J68" s="34"/>
      <c r="K68" s="34"/>
      <c r="L68" s="34"/>
      <c r="M68" s="35"/>
      <c r="N68" s="34"/>
      <c r="O68" s="34"/>
      <c r="P68" s="34"/>
    </row>
    <row r="69" spans="1:16" ht="30" customHeight="1">
      <c r="A69" s="34"/>
      <c r="B69" s="34"/>
      <c r="C69" s="34"/>
      <c r="D69" s="34"/>
      <c r="E69" s="34"/>
      <c r="F69" s="34"/>
      <c r="G69" s="34"/>
      <c r="H69" s="34"/>
      <c r="I69" s="34"/>
      <c r="J69" s="34"/>
      <c r="K69" s="34"/>
      <c r="L69" s="34"/>
      <c r="M69" s="35"/>
      <c r="N69" s="34"/>
      <c r="O69" s="34"/>
      <c r="P69" s="34"/>
    </row>
    <row r="70" spans="1:16" ht="30" customHeight="1">
      <c r="A70" s="34"/>
      <c r="B70" s="34"/>
      <c r="C70" s="34"/>
      <c r="D70" s="34"/>
      <c r="E70" s="34"/>
      <c r="F70" s="34"/>
      <c r="G70" s="34"/>
      <c r="H70" s="34"/>
      <c r="I70" s="34"/>
      <c r="J70" s="34"/>
      <c r="K70" s="34"/>
      <c r="L70" s="34"/>
      <c r="M70" s="35"/>
      <c r="N70" s="34"/>
      <c r="O70" s="34"/>
      <c r="P70" s="34"/>
    </row>
    <row r="71" spans="1:16" ht="30" customHeight="1">
      <c r="A71" s="34"/>
      <c r="B71" s="34"/>
      <c r="C71" s="34"/>
      <c r="D71" s="34"/>
      <c r="E71" s="34"/>
      <c r="F71" s="34"/>
      <c r="G71" s="34"/>
      <c r="H71" s="34"/>
      <c r="I71" s="34"/>
      <c r="J71" s="34"/>
      <c r="K71" s="34"/>
      <c r="L71" s="34"/>
      <c r="M71" s="35"/>
      <c r="N71" s="34"/>
      <c r="O71" s="34"/>
      <c r="P71" s="34"/>
    </row>
    <row r="72" spans="1:16" ht="30" customHeight="1">
      <c r="A72" s="34"/>
      <c r="B72" s="34"/>
      <c r="C72" s="34"/>
      <c r="D72" s="34"/>
      <c r="E72" s="34"/>
      <c r="F72" s="34"/>
      <c r="G72" s="34"/>
      <c r="H72" s="34"/>
      <c r="I72" s="34"/>
      <c r="J72" s="34"/>
      <c r="K72" s="34"/>
      <c r="L72" s="34"/>
      <c r="M72" s="35"/>
      <c r="N72" s="34"/>
      <c r="O72" s="34"/>
      <c r="P72" s="34"/>
    </row>
    <row r="73" spans="1:16" ht="30" customHeight="1">
      <c r="A73" s="34"/>
      <c r="B73" s="34"/>
      <c r="C73" s="34"/>
      <c r="D73" s="34"/>
      <c r="E73" s="34"/>
      <c r="F73" s="34"/>
      <c r="G73" s="34"/>
      <c r="H73" s="34"/>
      <c r="I73" s="34"/>
      <c r="J73" s="34"/>
      <c r="K73" s="34"/>
      <c r="L73" s="34"/>
      <c r="M73" s="35"/>
      <c r="N73" s="34"/>
      <c r="O73" s="34"/>
      <c r="P73" s="34"/>
    </row>
    <row r="74" spans="1:16" ht="30" customHeight="1">
      <c r="A74" s="34"/>
      <c r="B74" s="34"/>
      <c r="C74" s="34"/>
      <c r="D74" s="34"/>
      <c r="E74" s="34"/>
      <c r="F74" s="34"/>
      <c r="G74" s="34"/>
      <c r="H74" s="34"/>
      <c r="I74" s="34"/>
      <c r="J74" s="34"/>
      <c r="K74" s="34"/>
      <c r="L74" s="34"/>
      <c r="M74" s="35"/>
      <c r="N74" s="34"/>
      <c r="O74" s="34"/>
      <c r="P74" s="34"/>
    </row>
    <row r="75" spans="1:16" ht="30" customHeight="1">
      <c r="A75" s="34"/>
      <c r="B75" s="34"/>
      <c r="C75" s="34"/>
      <c r="D75" s="34"/>
      <c r="E75" s="34"/>
      <c r="F75" s="34"/>
      <c r="G75" s="34"/>
      <c r="H75" s="34"/>
      <c r="I75" s="34"/>
      <c r="J75" s="34"/>
      <c r="K75" s="34"/>
      <c r="L75" s="34"/>
      <c r="M75" s="35"/>
      <c r="N75" s="34"/>
      <c r="O75" s="34"/>
      <c r="P75" s="34"/>
    </row>
    <row r="76" spans="1:16" ht="30" customHeight="1">
      <c r="A76" s="34"/>
      <c r="B76" s="34"/>
      <c r="C76" s="34"/>
      <c r="D76" s="34"/>
      <c r="E76" s="34"/>
      <c r="F76" s="34"/>
      <c r="G76" s="34"/>
      <c r="H76" s="34"/>
      <c r="I76" s="34"/>
      <c r="J76" s="34"/>
      <c r="K76" s="34"/>
      <c r="L76" s="34"/>
      <c r="M76" s="35"/>
      <c r="N76" s="34"/>
      <c r="O76" s="34"/>
      <c r="P76" s="34"/>
    </row>
    <row r="77" spans="1:16" ht="30" customHeight="1">
      <c r="A77" s="34"/>
      <c r="B77" s="34"/>
      <c r="C77" s="34"/>
      <c r="D77" s="34"/>
      <c r="E77" s="34"/>
      <c r="F77" s="34"/>
      <c r="G77" s="34"/>
      <c r="H77" s="34"/>
      <c r="I77" s="34"/>
      <c r="J77" s="34"/>
      <c r="K77" s="34"/>
      <c r="L77" s="34"/>
      <c r="M77" s="35"/>
      <c r="N77" s="34"/>
      <c r="O77" s="34"/>
      <c r="P77" s="34"/>
    </row>
    <row r="78" spans="1:16" ht="30" customHeight="1">
      <c r="A78" s="34"/>
      <c r="B78" s="34"/>
      <c r="C78" s="34"/>
      <c r="D78" s="34"/>
      <c r="E78" s="34"/>
      <c r="F78" s="34"/>
      <c r="G78" s="34"/>
      <c r="H78" s="34"/>
      <c r="I78" s="34"/>
      <c r="J78" s="34"/>
      <c r="K78" s="34"/>
      <c r="L78" s="34"/>
      <c r="M78" s="35"/>
      <c r="N78" s="34"/>
      <c r="O78" s="34"/>
      <c r="P78" s="34"/>
    </row>
    <row r="79" spans="1:16" ht="30" customHeight="1">
      <c r="A79" s="34"/>
      <c r="B79" s="34"/>
      <c r="C79" s="34"/>
      <c r="D79" s="34"/>
      <c r="E79" s="34"/>
      <c r="F79" s="34"/>
      <c r="G79" s="34"/>
      <c r="H79" s="34"/>
      <c r="I79" s="34"/>
      <c r="J79" s="34"/>
      <c r="K79" s="34"/>
      <c r="L79" s="34"/>
      <c r="M79" s="35"/>
      <c r="N79" s="34"/>
      <c r="O79" s="34"/>
      <c r="P79" s="34"/>
    </row>
    <row r="80" spans="1:16" ht="30" customHeight="1">
      <c r="A80" s="34"/>
      <c r="B80" s="34"/>
      <c r="C80" s="34"/>
      <c r="D80" s="34"/>
      <c r="E80" s="34"/>
      <c r="F80" s="34"/>
      <c r="G80" s="34"/>
      <c r="H80" s="34"/>
      <c r="I80" s="34"/>
      <c r="J80" s="34"/>
      <c r="K80" s="34"/>
      <c r="L80" s="34"/>
      <c r="M80" s="35"/>
      <c r="N80" s="34"/>
      <c r="O80" s="34"/>
      <c r="P80" s="34"/>
    </row>
    <row r="81" spans="1:16" ht="30" customHeight="1">
      <c r="A81" s="34"/>
      <c r="B81" s="34"/>
      <c r="C81" s="34"/>
      <c r="D81" s="34"/>
      <c r="E81" s="34"/>
      <c r="F81" s="34"/>
      <c r="G81" s="34"/>
      <c r="H81" s="34"/>
      <c r="I81" s="34"/>
      <c r="J81" s="34"/>
      <c r="K81" s="34"/>
      <c r="L81" s="34"/>
      <c r="M81" s="35"/>
      <c r="N81" s="34"/>
      <c r="O81" s="34"/>
      <c r="P81" s="34"/>
    </row>
    <row r="82" spans="1:16" ht="30" customHeight="1">
      <c r="A82" s="34"/>
      <c r="B82" s="34"/>
      <c r="C82" s="34"/>
      <c r="D82" s="34"/>
      <c r="E82" s="34"/>
      <c r="F82" s="34"/>
      <c r="G82" s="34"/>
      <c r="H82" s="34"/>
      <c r="I82" s="34"/>
      <c r="J82" s="34"/>
      <c r="K82" s="34"/>
      <c r="L82" s="34"/>
      <c r="M82" s="35"/>
      <c r="N82" s="34"/>
      <c r="O82" s="34"/>
      <c r="P82" s="34"/>
    </row>
    <row r="83" spans="1:16" ht="30" customHeight="1">
      <c r="A83" s="34"/>
      <c r="B83" s="34"/>
      <c r="C83" s="34"/>
      <c r="D83" s="34"/>
      <c r="E83" s="34"/>
      <c r="F83" s="34"/>
      <c r="G83" s="34"/>
      <c r="H83" s="34"/>
      <c r="I83" s="34"/>
      <c r="J83" s="34"/>
      <c r="K83" s="34"/>
      <c r="L83" s="34"/>
      <c r="M83" s="35"/>
      <c r="N83" s="34"/>
      <c r="O83" s="34"/>
      <c r="P83" s="34"/>
    </row>
    <row r="84" spans="1:16" ht="30" customHeight="1">
      <c r="A84" s="34"/>
      <c r="B84" s="34"/>
      <c r="C84" s="34"/>
      <c r="D84" s="34"/>
      <c r="E84" s="34"/>
      <c r="F84" s="34"/>
      <c r="G84" s="34"/>
      <c r="H84" s="34"/>
      <c r="I84" s="34"/>
      <c r="J84" s="34"/>
      <c r="K84" s="34"/>
      <c r="L84" s="34"/>
      <c r="M84" s="35"/>
      <c r="N84" s="34"/>
      <c r="O84" s="34"/>
      <c r="P84" s="34"/>
    </row>
    <row r="85" spans="1:16" ht="30" customHeight="1">
      <c r="A85" s="34"/>
      <c r="B85" s="34"/>
      <c r="C85" s="34"/>
      <c r="D85" s="34"/>
      <c r="E85" s="34"/>
      <c r="F85" s="34"/>
      <c r="G85" s="34"/>
      <c r="H85" s="34"/>
      <c r="I85" s="34"/>
      <c r="J85" s="34"/>
      <c r="K85" s="34"/>
      <c r="L85" s="34"/>
      <c r="M85" s="35"/>
      <c r="N85" s="34"/>
      <c r="O85" s="34"/>
      <c r="P85" s="34"/>
    </row>
    <row r="86" spans="1:16" ht="30" customHeight="1">
      <c r="A86" s="34"/>
      <c r="B86" s="34"/>
      <c r="C86" s="34"/>
      <c r="D86" s="34"/>
      <c r="E86" s="34"/>
      <c r="F86" s="34"/>
      <c r="G86" s="34"/>
      <c r="H86" s="34"/>
      <c r="I86" s="34"/>
      <c r="J86" s="34"/>
      <c r="K86" s="34"/>
      <c r="L86" s="34"/>
      <c r="M86" s="35"/>
      <c r="N86" s="34"/>
      <c r="O86" s="34"/>
      <c r="P86" s="34"/>
    </row>
    <row r="87" spans="1:16" ht="30" customHeight="1">
      <c r="A87" s="34"/>
      <c r="B87" s="34"/>
      <c r="C87" s="34"/>
      <c r="D87" s="34"/>
      <c r="E87" s="34"/>
      <c r="F87" s="34"/>
      <c r="G87" s="34"/>
      <c r="H87" s="34"/>
      <c r="I87" s="34"/>
      <c r="J87" s="34"/>
      <c r="K87" s="34"/>
      <c r="L87" s="34"/>
      <c r="M87" s="35"/>
      <c r="N87" s="34"/>
      <c r="O87" s="34"/>
      <c r="P87" s="34"/>
    </row>
    <row r="88" spans="1:16" ht="30" customHeight="1">
      <c r="A88" s="34"/>
      <c r="B88" s="34"/>
      <c r="C88" s="34"/>
      <c r="D88" s="34"/>
      <c r="E88" s="34"/>
      <c r="F88" s="34"/>
      <c r="G88" s="34"/>
      <c r="H88" s="34"/>
      <c r="I88" s="34"/>
      <c r="J88" s="34"/>
      <c r="K88" s="34"/>
      <c r="L88" s="34"/>
      <c r="M88" s="35"/>
      <c r="N88" s="34"/>
      <c r="O88" s="34"/>
      <c r="P88" s="34"/>
    </row>
    <row r="89" spans="1:16" ht="30" customHeight="1">
      <c r="A89" s="34"/>
      <c r="B89" s="34"/>
      <c r="C89" s="34"/>
      <c r="D89" s="34"/>
      <c r="E89" s="34"/>
      <c r="F89" s="34"/>
      <c r="G89" s="34"/>
      <c r="H89" s="34"/>
      <c r="I89" s="34"/>
      <c r="J89" s="34"/>
      <c r="K89" s="34"/>
      <c r="L89" s="34"/>
      <c r="M89" s="35"/>
      <c r="N89" s="34"/>
      <c r="O89" s="34"/>
      <c r="P89" s="34"/>
    </row>
    <row r="90" spans="1:16" ht="30" customHeight="1">
      <c r="A90" s="34"/>
      <c r="B90" s="34"/>
      <c r="C90" s="34"/>
      <c r="D90" s="34"/>
      <c r="E90" s="34"/>
      <c r="F90" s="34"/>
      <c r="G90" s="34"/>
      <c r="H90" s="34"/>
      <c r="I90" s="34"/>
      <c r="J90" s="34"/>
      <c r="K90" s="34"/>
      <c r="L90" s="34"/>
      <c r="M90" s="35"/>
      <c r="N90" s="34"/>
      <c r="O90" s="34"/>
      <c r="P90" s="34"/>
    </row>
    <row r="91" spans="1:16" ht="30" customHeight="1">
      <c r="A91" s="34"/>
      <c r="B91" s="34"/>
      <c r="C91" s="34"/>
      <c r="D91" s="34"/>
      <c r="E91" s="34"/>
      <c r="F91" s="34"/>
      <c r="G91" s="34"/>
      <c r="H91" s="34"/>
      <c r="I91" s="34"/>
      <c r="J91" s="34"/>
      <c r="K91" s="34"/>
      <c r="L91" s="34"/>
      <c r="M91" s="35"/>
      <c r="N91" s="34"/>
      <c r="O91" s="34"/>
      <c r="P91" s="34"/>
    </row>
    <row r="92" spans="1:16" ht="30" customHeight="1">
      <c r="A92" s="34"/>
      <c r="B92" s="34"/>
      <c r="C92" s="34"/>
      <c r="D92" s="34"/>
      <c r="E92" s="34"/>
      <c r="F92" s="34"/>
      <c r="G92" s="34"/>
      <c r="H92" s="34"/>
      <c r="I92" s="34"/>
      <c r="J92" s="34"/>
      <c r="K92" s="34"/>
      <c r="L92" s="34"/>
      <c r="M92" s="35"/>
      <c r="N92" s="34"/>
      <c r="O92" s="34"/>
      <c r="P92" s="34"/>
    </row>
    <row r="93" spans="1:16" ht="30" customHeight="1">
      <c r="A93" s="34"/>
      <c r="B93" s="34"/>
      <c r="C93" s="34"/>
      <c r="D93" s="34"/>
      <c r="E93" s="34"/>
      <c r="F93" s="34"/>
      <c r="G93" s="34"/>
      <c r="H93" s="34"/>
      <c r="I93" s="34"/>
      <c r="J93" s="34"/>
      <c r="K93" s="34"/>
      <c r="L93" s="34"/>
      <c r="M93" s="35"/>
      <c r="N93" s="34"/>
      <c r="O93" s="34"/>
      <c r="P93" s="34"/>
    </row>
    <row r="94" spans="1:16" ht="30" customHeight="1">
      <c r="A94" s="34"/>
      <c r="B94" s="34"/>
      <c r="C94" s="34"/>
      <c r="D94" s="34"/>
      <c r="E94" s="34"/>
      <c r="F94" s="34"/>
      <c r="G94" s="34"/>
      <c r="H94" s="34"/>
      <c r="I94" s="34"/>
      <c r="J94" s="34"/>
      <c r="K94" s="34"/>
      <c r="L94" s="34"/>
      <c r="M94" s="35"/>
      <c r="N94" s="34"/>
      <c r="O94" s="34"/>
      <c r="P94" s="34"/>
    </row>
    <row r="95" spans="1:16" ht="30" customHeight="1">
      <c r="A95" s="34"/>
      <c r="B95" s="34"/>
      <c r="C95" s="34"/>
      <c r="D95" s="34"/>
      <c r="E95" s="34"/>
      <c r="F95" s="34"/>
      <c r="G95" s="34"/>
      <c r="H95" s="34"/>
      <c r="I95" s="34"/>
      <c r="J95" s="34"/>
      <c r="K95" s="34"/>
      <c r="L95" s="34"/>
      <c r="M95" s="35"/>
      <c r="N95" s="34"/>
      <c r="O95" s="34"/>
      <c r="P95" s="34"/>
    </row>
    <row r="96" spans="1:16" ht="30" customHeight="1">
      <c r="A96" s="34"/>
      <c r="B96" s="34"/>
      <c r="C96" s="34"/>
      <c r="D96" s="34"/>
      <c r="E96" s="34"/>
      <c r="F96" s="34"/>
      <c r="G96" s="34"/>
      <c r="H96" s="34"/>
      <c r="I96" s="34"/>
      <c r="J96" s="34"/>
      <c r="K96" s="34"/>
      <c r="L96" s="34"/>
      <c r="M96" s="35"/>
      <c r="N96" s="34"/>
      <c r="O96" s="34"/>
      <c r="P96" s="34"/>
    </row>
    <row r="97" spans="1:16" ht="30" customHeight="1">
      <c r="A97" s="34"/>
      <c r="B97" s="34"/>
      <c r="C97" s="34"/>
      <c r="D97" s="34"/>
      <c r="E97" s="34"/>
      <c r="F97" s="34"/>
      <c r="G97" s="34"/>
      <c r="H97" s="34"/>
      <c r="I97" s="34"/>
      <c r="J97" s="34"/>
      <c r="K97" s="34"/>
      <c r="L97" s="34"/>
      <c r="M97" s="35"/>
      <c r="N97" s="34"/>
      <c r="O97" s="34"/>
      <c r="P97" s="34"/>
    </row>
    <row r="98" spans="1:16" ht="30" customHeight="1">
      <c r="A98" s="34"/>
      <c r="B98" s="34"/>
      <c r="C98" s="34"/>
      <c r="D98" s="34"/>
      <c r="E98" s="34"/>
      <c r="F98" s="34"/>
      <c r="G98" s="34"/>
      <c r="H98" s="34"/>
      <c r="I98" s="34"/>
      <c r="J98" s="34"/>
      <c r="K98" s="34"/>
      <c r="L98" s="34"/>
      <c r="M98" s="35"/>
      <c r="N98" s="34"/>
      <c r="O98" s="34"/>
      <c r="P98" s="34"/>
    </row>
    <row r="99" spans="1:16" ht="30" customHeight="1">
      <c r="A99" s="34"/>
      <c r="B99" s="34"/>
      <c r="C99" s="34"/>
      <c r="D99" s="34"/>
      <c r="E99" s="34"/>
      <c r="F99" s="34"/>
      <c r="G99" s="34"/>
      <c r="H99" s="34"/>
      <c r="I99" s="34"/>
      <c r="J99" s="34"/>
      <c r="K99" s="34"/>
      <c r="L99" s="34"/>
      <c r="M99" s="35"/>
      <c r="N99" s="34"/>
      <c r="O99" s="34"/>
      <c r="P99" s="34"/>
    </row>
    <row r="100" spans="1:16" ht="30" customHeight="1">
      <c r="A100" s="34"/>
      <c r="B100" s="34"/>
      <c r="C100" s="34"/>
      <c r="D100" s="34"/>
      <c r="E100" s="34"/>
      <c r="F100" s="34"/>
      <c r="G100" s="34"/>
      <c r="H100" s="34"/>
      <c r="I100" s="34"/>
      <c r="J100" s="34"/>
      <c r="K100" s="34"/>
      <c r="L100" s="34"/>
      <c r="M100" s="35"/>
      <c r="N100" s="34"/>
      <c r="O100" s="34"/>
      <c r="P100" s="34"/>
    </row>
    <row r="101" spans="1:16" ht="30" customHeight="1">
      <c r="A101" s="34"/>
      <c r="B101" s="34"/>
      <c r="C101" s="34"/>
      <c r="D101" s="34"/>
      <c r="E101" s="34"/>
      <c r="F101" s="34"/>
      <c r="G101" s="34"/>
      <c r="H101" s="34"/>
      <c r="I101" s="34"/>
      <c r="J101" s="34"/>
      <c r="K101" s="34"/>
      <c r="L101" s="34"/>
      <c r="M101" s="35"/>
      <c r="N101" s="34"/>
      <c r="O101" s="34"/>
      <c r="P101" s="34"/>
    </row>
    <row r="102" spans="1:16" ht="30" customHeight="1">
      <c r="A102" s="34"/>
      <c r="B102" s="34"/>
      <c r="C102" s="34"/>
      <c r="D102" s="34"/>
      <c r="E102" s="34"/>
      <c r="F102" s="34"/>
      <c r="G102" s="34"/>
      <c r="H102" s="34"/>
      <c r="I102" s="34"/>
      <c r="J102" s="34"/>
      <c r="K102" s="34"/>
      <c r="L102" s="34"/>
      <c r="M102" s="35"/>
      <c r="N102" s="34"/>
      <c r="O102" s="34"/>
      <c r="P102" s="34"/>
    </row>
    <row r="103" spans="1:16" ht="30" customHeight="1">
      <c r="A103" s="34"/>
      <c r="B103" s="34"/>
      <c r="C103" s="34"/>
      <c r="D103" s="34"/>
      <c r="E103" s="34"/>
      <c r="F103" s="34"/>
      <c r="G103" s="34"/>
      <c r="H103" s="34"/>
      <c r="I103" s="34"/>
      <c r="J103" s="34"/>
      <c r="K103" s="34"/>
      <c r="L103" s="34"/>
      <c r="M103" s="35"/>
      <c r="N103" s="34"/>
      <c r="O103" s="34"/>
      <c r="P103" s="34"/>
    </row>
    <row r="104" spans="1:16" ht="30" customHeight="1">
      <c r="A104" s="34"/>
      <c r="B104" s="34"/>
      <c r="C104" s="34"/>
      <c r="D104" s="34"/>
      <c r="E104" s="34"/>
      <c r="F104" s="34"/>
      <c r="G104" s="34"/>
      <c r="H104" s="34"/>
      <c r="I104" s="34"/>
      <c r="J104" s="34"/>
      <c r="K104" s="34"/>
      <c r="L104" s="34"/>
      <c r="M104" s="35"/>
      <c r="N104" s="34"/>
      <c r="O104" s="34"/>
      <c r="P104" s="34"/>
    </row>
    <row r="105" spans="1:16" ht="30" customHeight="1">
      <c r="A105" s="34"/>
      <c r="B105" s="34"/>
      <c r="C105" s="34"/>
      <c r="D105" s="34"/>
      <c r="E105" s="34"/>
      <c r="F105" s="34"/>
      <c r="G105" s="34"/>
      <c r="H105" s="34"/>
      <c r="I105" s="34"/>
      <c r="J105" s="34"/>
      <c r="K105" s="34"/>
      <c r="L105" s="34"/>
      <c r="M105" s="35"/>
      <c r="N105" s="34"/>
      <c r="O105" s="34"/>
      <c r="P105" s="34"/>
    </row>
    <row r="106" spans="1:16" ht="30" customHeight="1">
      <c r="A106" s="34"/>
      <c r="B106" s="34"/>
      <c r="C106" s="34"/>
      <c r="D106" s="34"/>
      <c r="E106" s="34"/>
      <c r="F106" s="34"/>
      <c r="G106" s="34"/>
      <c r="H106" s="34"/>
      <c r="I106" s="34"/>
      <c r="J106" s="34"/>
      <c r="K106" s="34"/>
      <c r="L106" s="34"/>
      <c r="M106" s="35"/>
      <c r="N106" s="34"/>
      <c r="O106" s="34"/>
      <c r="P106" s="34"/>
    </row>
    <row r="107" spans="1:16" ht="30" customHeight="1">
      <c r="A107" s="34"/>
      <c r="B107" s="34"/>
      <c r="C107" s="34"/>
      <c r="D107" s="34"/>
      <c r="E107" s="34"/>
      <c r="F107" s="34"/>
      <c r="G107" s="34"/>
      <c r="H107" s="34"/>
      <c r="I107" s="34"/>
      <c r="J107" s="34"/>
      <c r="K107" s="34"/>
      <c r="L107" s="34"/>
      <c r="M107" s="35"/>
      <c r="N107" s="34"/>
      <c r="O107" s="34"/>
      <c r="P107" s="34"/>
    </row>
    <row r="108" spans="1:16" ht="30" customHeight="1">
      <c r="A108" s="34"/>
      <c r="B108" s="34"/>
      <c r="C108" s="34"/>
      <c r="D108" s="34"/>
      <c r="E108" s="34"/>
      <c r="F108" s="34"/>
      <c r="G108" s="34"/>
      <c r="H108" s="34"/>
      <c r="I108" s="34"/>
      <c r="J108" s="34"/>
      <c r="K108" s="34"/>
      <c r="L108" s="34"/>
      <c r="M108" s="35"/>
      <c r="N108" s="34"/>
      <c r="O108" s="34"/>
      <c r="P108" s="34"/>
    </row>
    <row r="109" spans="1:16" ht="30" customHeight="1">
      <c r="A109" s="34"/>
      <c r="B109" s="34"/>
      <c r="C109" s="34"/>
      <c r="D109" s="34"/>
      <c r="E109" s="34"/>
      <c r="F109" s="34"/>
      <c r="G109" s="34"/>
      <c r="H109" s="34"/>
      <c r="I109" s="34"/>
      <c r="J109" s="34"/>
      <c r="K109" s="34"/>
      <c r="L109" s="34"/>
      <c r="M109" s="35"/>
      <c r="N109" s="34"/>
      <c r="O109" s="34"/>
      <c r="P109" s="34"/>
    </row>
    <row r="110" spans="1:16" ht="30" customHeight="1">
      <c r="A110" s="34"/>
      <c r="B110" s="34"/>
      <c r="C110" s="34"/>
      <c r="D110" s="34"/>
      <c r="E110" s="34"/>
      <c r="F110" s="34"/>
      <c r="G110" s="34"/>
      <c r="H110" s="34"/>
      <c r="I110" s="34"/>
      <c r="J110" s="34"/>
      <c r="K110" s="34"/>
      <c r="L110" s="34"/>
      <c r="M110" s="35"/>
      <c r="N110" s="34"/>
      <c r="O110" s="34"/>
      <c r="P110" s="34"/>
    </row>
    <row r="111" spans="1:16" ht="30" customHeight="1">
      <c r="A111" s="34"/>
      <c r="B111" s="34"/>
      <c r="C111" s="34"/>
      <c r="D111" s="34"/>
      <c r="E111" s="34"/>
      <c r="F111" s="34"/>
      <c r="G111" s="34"/>
      <c r="H111" s="34"/>
      <c r="I111" s="34"/>
      <c r="J111" s="34"/>
      <c r="K111" s="34"/>
      <c r="L111" s="34"/>
      <c r="M111" s="35"/>
      <c r="N111" s="34"/>
      <c r="O111" s="34"/>
      <c r="P111" s="34"/>
    </row>
    <row r="112" spans="1:16" ht="30" customHeight="1">
      <c r="A112" s="34"/>
      <c r="B112" s="34"/>
      <c r="C112" s="34"/>
      <c r="D112" s="34"/>
      <c r="E112" s="34"/>
      <c r="F112" s="34"/>
      <c r="G112" s="34"/>
      <c r="H112" s="34"/>
      <c r="I112" s="34"/>
      <c r="J112" s="34"/>
      <c r="K112" s="34"/>
      <c r="L112" s="34"/>
      <c r="M112" s="35"/>
      <c r="N112" s="34"/>
      <c r="O112" s="34"/>
      <c r="P112" s="34"/>
    </row>
    <row r="113" spans="1:16" ht="30" customHeight="1">
      <c r="A113" s="34"/>
      <c r="B113" s="34"/>
      <c r="C113" s="34"/>
      <c r="D113" s="34"/>
      <c r="E113" s="34"/>
      <c r="F113" s="34"/>
      <c r="G113" s="34"/>
      <c r="H113" s="34"/>
      <c r="I113" s="34"/>
      <c r="J113" s="34"/>
      <c r="K113" s="34"/>
      <c r="L113" s="34"/>
      <c r="M113" s="35"/>
      <c r="N113" s="34"/>
      <c r="O113" s="34"/>
      <c r="P113" s="34"/>
    </row>
    <row r="114" spans="1:16" ht="30" customHeight="1">
      <c r="A114" s="34"/>
      <c r="B114" s="34"/>
      <c r="C114" s="34"/>
      <c r="D114" s="34"/>
      <c r="E114" s="34"/>
      <c r="F114" s="34"/>
      <c r="G114" s="34"/>
      <c r="H114" s="34"/>
      <c r="I114" s="34"/>
      <c r="J114" s="34"/>
      <c r="K114" s="34"/>
      <c r="L114" s="34"/>
      <c r="M114" s="35"/>
      <c r="N114" s="34"/>
      <c r="O114" s="34"/>
      <c r="P114" s="34"/>
    </row>
    <row r="115" spans="1:16" ht="30" customHeight="1">
      <c r="A115" s="34"/>
      <c r="B115" s="34"/>
      <c r="C115" s="34"/>
      <c r="D115" s="34"/>
      <c r="E115" s="34"/>
      <c r="F115" s="34"/>
      <c r="G115" s="34"/>
      <c r="H115" s="34"/>
      <c r="I115" s="34"/>
      <c r="J115" s="34"/>
      <c r="K115" s="34"/>
      <c r="L115" s="34"/>
      <c r="M115" s="35"/>
      <c r="N115" s="34"/>
      <c r="O115" s="34"/>
      <c r="P115" s="34"/>
    </row>
    <row r="116" spans="1:16" ht="30" customHeight="1">
      <c r="A116" s="34"/>
      <c r="B116" s="34"/>
      <c r="C116" s="34"/>
      <c r="D116" s="34"/>
      <c r="E116" s="34"/>
      <c r="F116" s="34"/>
      <c r="G116" s="34"/>
      <c r="H116" s="34"/>
      <c r="I116" s="34"/>
      <c r="J116" s="34"/>
      <c r="K116" s="34"/>
      <c r="L116" s="34"/>
      <c r="M116" s="35"/>
      <c r="N116" s="34"/>
      <c r="O116" s="34"/>
      <c r="P116" s="34"/>
    </row>
    <row r="117" spans="1:16" ht="30" customHeight="1">
      <c r="A117" s="34"/>
      <c r="B117" s="34"/>
      <c r="C117" s="34"/>
      <c r="D117" s="34"/>
      <c r="E117" s="34"/>
      <c r="F117" s="34"/>
      <c r="G117" s="34"/>
      <c r="H117" s="34"/>
      <c r="I117" s="34"/>
      <c r="J117" s="34"/>
      <c r="K117" s="34"/>
      <c r="L117" s="34"/>
      <c r="M117" s="35"/>
      <c r="N117" s="34"/>
      <c r="O117" s="34"/>
      <c r="P117" s="34"/>
    </row>
    <row r="118" spans="1:16" ht="30" customHeight="1">
      <c r="A118" s="34"/>
      <c r="B118" s="34"/>
      <c r="C118" s="34"/>
      <c r="D118" s="34"/>
      <c r="E118" s="34"/>
      <c r="F118" s="34"/>
      <c r="G118" s="34"/>
      <c r="H118" s="34"/>
      <c r="I118" s="34"/>
      <c r="J118" s="34"/>
      <c r="K118" s="34"/>
      <c r="L118" s="34"/>
      <c r="M118" s="35"/>
      <c r="N118" s="34"/>
      <c r="O118" s="34"/>
      <c r="P118" s="34"/>
    </row>
    <row r="119" spans="1:16" ht="30" customHeight="1">
      <c r="A119" s="34"/>
      <c r="B119" s="34"/>
      <c r="C119" s="34"/>
      <c r="D119" s="34"/>
      <c r="E119" s="34"/>
      <c r="F119" s="34"/>
      <c r="G119" s="34"/>
      <c r="H119" s="34"/>
      <c r="I119" s="34"/>
      <c r="J119" s="34"/>
      <c r="K119" s="34"/>
      <c r="L119" s="34"/>
      <c r="M119" s="35"/>
      <c r="N119" s="34"/>
      <c r="O119" s="34"/>
      <c r="P119" s="34"/>
    </row>
    <row r="120" spans="1:16" ht="30" customHeight="1">
      <c r="A120" s="34"/>
      <c r="B120" s="34"/>
      <c r="C120" s="34"/>
      <c r="D120" s="34"/>
      <c r="E120" s="34"/>
      <c r="F120" s="34"/>
      <c r="G120" s="34"/>
      <c r="H120" s="34"/>
      <c r="I120" s="34"/>
      <c r="J120" s="34"/>
      <c r="K120" s="34"/>
      <c r="L120" s="34"/>
      <c r="M120" s="35"/>
      <c r="N120" s="34"/>
      <c r="O120" s="34"/>
      <c r="P120" s="34"/>
    </row>
    <row r="121" spans="1:16" ht="30" customHeight="1">
      <c r="A121" s="34"/>
      <c r="B121" s="34"/>
      <c r="C121" s="34"/>
      <c r="D121" s="34"/>
      <c r="E121" s="34"/>
      <c r="F121" s="34"/>
      <c r="G121" s="34"/>
      <c r="H121" s="34"/>
      <c r="I121" s="34"/>
      <c r="J121" s="34"/>
      <c r="K121" s="34"/>
      <c r="L121" s="34"/>
      <c r="M121" s="35"/>
      <c r="N121" s="34"/>
      <c r="O121" s="34"/>
      <c r="P121" s="34"/>
    </row>
    <row r="122" spans="1:16" ht="30" customHeight="1">
      <c r="A122" s="34"/>
      <c r="B122" s="34"/>
      <c r="C122" s="34"/>
      <c r="D122" s="34"/>
      <c r="E122" s="34"/>
      <c r="F122" s="34"/>
      <c r="G122" s="34"/>
      <c r="H122" s="34"/>
      <c r="I122" s="34"/>
      <c r="J122" s="34"/>
      <c r="K122" s="34"/>
      <c r="L122" s="34"/>
      <c r="M122" s="35"/>
      <c r="N122" s="34"/>
      <c r="O122" s="34"/>
      <c r="P122" s="34"/>
    </row>
    <row r="123" spans="1:16" ht="30" customHeight="1">
      <c r="A123" s="34"/>
      <c r="B123" s="34"/>
      <c r="C123" s="34"/>
      <c r="D123" s="34"/>
      <c r="E123" s="34"/>
      <c r="F123" s="34"/>
      <c r="G123" s="34"/>
      <c r="H123" s="34"/>
      <c r="I123" s="34"/>
      <c r="J123" s="34"/>
      <c r="K123" s="34"/>
      <c r="L123" s="34"/>
      <c r="M123" s="35"/>
      <c r="N123" s="34"/>
      <c r="O123" s="34"/>
      <c r="P123" s="34"/>
    </row>
    <row r="124" spans="1:16" ht="30" customHeight="1">
      <c r="A124" s="34"/>
      <c r="B124" s="34"/>
      <c r="C124" s="34"/>
      <c r="D124" s="34"/>
      <c r="E124" s="34"/>
      <c r="F124" s="34"/>
      <c r="G124" s="34"/>
      <c r="H124" s="34"/>
      <c r="I124" s="34"/>
      <c r="J124" s="34"/>
      <c r="K124" s="34"/>
      <c r="L124" s="34"/>
      <c r="M124" s="35"/>
      <c r="N124" s="34"/>
      <c r="O124" s="34"/>
      <c r="P124" s="34"/>
    </row>
    <row r="125" spans="1:16" ht="30" customHeight="1">
      <c r="A125" s="34"/>
      <c r="B125" s="34"/>
      <c r="C125" s="34"/>
      <c r="D125" s="34"/>
      <c r="E125" s="34"/>
      <c r="F125" s="34"/>
      <c r="G125" s="34"/>
      <c r="H125" s="34"/>
      <c r="I125" s="34"/>
      <c r="J125" s="34"/>
      <c r="K125" s="34"/>
      <c r="L125" s="34"/>
      <c r="M125" s="35"/>
      <c r="N125" s="34"/>
      <c r="O125" s="34"/>
      <c r="P125" s="34"/>
    </row>
    <row r="126" spans="1:16" ht="30" customHeight="1">
      <c r="A126" s="34"/>
      <c r="B126" s="34"/>
      <c r="C126" s="34"/>
      <c r="D126" s="34"/>
      <c r="E126" s="34"/>
      <c r="F126" s="34"/>
      <c r="G126" s="34"/>
      <c r="H126" s="34"/>
      <c r="I126" s="34"/>
      <c r="J126" s="34"/>
      <c r="K126" s="34"/>
      <c r="L126" s="34"/>
      <c r="M126" s="35"/>
      <c r="N126" s="34"/>
      <c r="O126" s="34"/>
      <c r="P126" s="34"/>
    </row>
    <row r="127" spans="1:16" ht="30" customHeight="1">
      <c r="A127" s="34"/>
      <c r="B127" s="34"/>
      <c r="C127" s="34"/>
      <c r="D127" s="34"/>
      <c r="E127" s="34"/>
      <c r="F127" s="34"/>
      <c r="G127" s="34"/>
      <c r="H127" s="34"/>
      <c r="I127" s="34"/>
      <c r="J127" s="34"/>
      <c r="K127" s="34"/>
      <c r="L127" s="34"/>
      <c r="M127" s="35"/>
      <c r="N127" s="34"/>
      <c r="O127" s="34"/>
      <c r="P127" s="34"/>
    </row>
    <row r="128" spans="1:16" ht="30" customHeight="1">
      <c r="A128" s="34"/>
      <c r="B128" s="34"/>
      <c r="C128" s="34"/>
      <c r="D128" s="34"/>
      <c r="E128" s="34"/>
      <c r="F128" s="34"/>
      <c r="G128" s="34"/>
      <c r="H128" s="34"/>
      <c r="I128" s="34"/>
      <c r="J128" s="34"/>
      <c r="K128" s="34"/>
      <c r="L128" s="34"/>
      <c r="M128" s="35"/>
      <c r="N128" s="34"/>
      <c r="O128" s="34"/>
      <c r="P128" s="34"/>
    </row>
    <row r="129" spans="1:16" ht="30" customHeight="1">
      <c r="A129" s="34"/>
      <c r="B129" s="34"/>
      <c r="C129" s="34"/>
      <c r="D129" s="34"/>
      <c r="E129" s="34"/>
      <c r="F129" s="34"/>
      <c r="G129" s="34"/>
      <c r="H129" s="34"/>
      <c r="I129" s="34"/>
      <c r="J129" s="34"/>
      <c r="K129" s="34"/>
      <c r="L129" s="34"/>
      <c r="M129" s="35"/>
      <c r="N129" s="34"/>
      <c r="O129" s="34"/>
      <c r="P129" s="34"/>
    </row>
    <row r="130" spans="1:16" ht="30" customHeight="1">
      <c r="A130" s="34"/>
      <c r="B130" s="34"/>
      <c r="C130" s="34"/>
      <c r="D130" s="34"/>
      <c r="E130" s="34"/>
      <c r="F130" s="34"/>
      <c r="G130" s="34"/>
      <c r="H130" s="34"/>
      <c r="I130" s="34"/>
      <c r="J130" s="34"/>
      <c r="K130" s="34"/>
      <c r="L130" s="34"/>
      <c r="M130" s="35"/>
      <c r="N130" s="34"/>
      <c r="O130" s="34"/>
      <c r="P130" s="34"/>
    </row>
    <row r="131" spans="1:16" ht="30" customHeight="1">
      <c r="A131" s="34"/>
      <c r="B131" s="34"/>
      <c r="C131" s="34"/>
      <c r="D131" s="34"/>
      <c r="E131" s="34"/>
      <c r="F131" s="34"/>
      <c r="G131" s="34"/>
      <c r="H131" s="34"/>
      <c r="I131" s="34"/>
      <c r="J131" s="34"/>
      <c r="K131" s="34"/>
      <c r="L131" s="34"/>
      <c r="M131" s="35"/>
      <c r="N131" s="34"/>
      <c r="O131" s="34"/>
      <c r="P131" s="34"/>
    </row>
    <row r="132" spans="1:16" ht="30" customHeight="1">
      <c r="A132" s="34"/>
      <c r="B132" s="34"/>
      <c r="C132" s="34"/>
      <c r="D132" s="34"/>
      <c r="E132" s="34"/>
      <c r="F132" s="34"/>
      <c r="G132" s="34"/>
      <c r="H132" s="34"/>
      <c r="I132" s="34"/>
      <c r="J132" s="34"/>
      <c r="K132" s="34"/>
      <c r="L132" s="34"/>
      <c r="M132" s="35"/>
      <c r="N132" s="34"/>
      <c r="O132" s="34"/>
      <c r="P132" s="34"/>
    </row>
    <row r="133" spans="1:16" ht="30" customHeight="1">
      <c r="A133" s="34"/>
      <c r="B133" s="34"/>
      <c r="C133" s="34"/>
      <c r="D133" s="34"/>
      <c r="E133" s="34"/>
      <c r="F133" s="34"/>
      <c r="G133" s="34"/>
      <c r="H133" s="34"/>
      <c r="I133" s="34"/>
      <c r="J133" s="34"/>
      <c r="K133" s="34"/>
      <c r="L133" s="34"/>
      <c r="M133" s="35"/>
      <c r="N133" s="34"/>
      <c r="O133" s="34"/>
      <c r="P133" s="34"/>
    </row>
    <row r="134" spans="1:16" ht="30" customHeight="1">
      <c r="A134" s="34"/>
      <c r="B134" s="34"/>
      <c r="C134" s="34"/>
      <c r="D134" s="34"/>
      <c r="E134" s="34"/>
      <c r="F134" s="34"/>
      <c r="G134" s="34"/>
      <c r="H134" s="34"/>
      <c r="I134" s="34"/>
      <c r="J134" s="34"/>
      <c r="K134" s="34"/>
      <c r="L134" s="34"/>
      <c r="M134" s="35"/>
      <c r="N134" s="34"/>
      <c r="O134" s="34"/>
      <c r="P134" s="34"/>
    </row>
    <row r="135" spans="1:16" ht="30" customHeight="1">
      <c r="A135" s="34"/>
      <c r="B135" s="34"/>
      <c r="C135" s="34"/>
      <c r="D135" s="34"/>
      <c r="E135" s="34"/>
      <c r="F135" s="34"/>
      <c r="G135" s="34"/>
      <c r="H135" s="34"/>
      <c r="I135" s="34"/>
      <c r="J135" s="34"/>
      <c r="K135" s="34"/>
      <c r="L135" s="34"/>
      <c r="M135" s="35"/>
      <c r="N135" s="34"/>
      <c r="O135" s="34"/>
      <c r="P135" s="34"/>
    </row>
    <row r="136" spans="1:16" ht="30" customHeight="1">
      <c r="A136" s="34"/>
      <c r="B136" s="34"/>
      <c r="C136" s="34"/>
      <c r="D136" s="34"/>
      <c r="E136" s="34"/>
      <c r="F136" s="34"/>
      <c r="G136" s="34"/>
      <c r="H136" s="34"/>
      <c r="I136" s="34"/>
      <c r="J136" s="34"/>
      <c r="K136" s="34"/>
      <c r="L136" s="34"/>
      <c r="M136" s="35"/>
      <c r="N136" s="34"/>
      <c r="O136" s="34"/>
      <c r="P136" s="34"/>
    </row>
    <row r="137" spans="1:16" ht="30" customHeight="1">
      <c r="A137" s="34"/>
      <c r="B137" s="34"/>
      <c r="C137" s="34"/>
      <c r="D137" s="34"/>
      <c r="E137" s="34"/>
      <c r="F137" s="34"/>
      <c r="G137" s="34"/>
      <c r="H137" s="34"/>
      <c r="I137" s="34"/>
      <c r="J137" s="34"/>
      <c r="K137" s="34"/>
      <c r="L137" s="34"/>
      <c r="M137" s="35"/>
      <c r="N137" s="34"/>
      <c r="O137" s="34"/>
      <c r="P137" s="34"/>
    </row>
    <row r="138" spans="1:16" ht="30" customHeight="1">
      <c r="A138" s="34"/>
      <c r="B138" s="34"/>
      <c r="C138" s="34"/>
      <c r="D138" s="34"/>
      <c r="E138" s="34"/>
      <c r="F138" s="34"/>
      <c r="G138" s="34"/>
      <c r="H138" s="34"/>
      <c r="I138" s="34"/>
      <c r="J138" s="34"/>
      <c r="K138" s="34"/>
      <c r="L138" s="34"/>
      <c r="M138" s="35"/>
      <c r="N138" s="34"/>
      <c r="O138" s="34"/>
      <c r="P138" s="34"/>
    </row>
    <row r="139" spans="1:16" ht="30" customHeight="1">
      <c r="A139" s="34"/>
      <c r="B139" s="34"/>
      <c r="C139" s="34"/>
      <c r="D139" s="34"/>
      <c r="E139" s="34"/>
      <c r="F139" s="34"/>
      <c r="G139" s="34"/>
      <c r="H139" s="34"/>
      <c r="I139" s="34"/>
      <c r="J139" s="34"/>
      <c r="K139" s="34"/>
      <c r="L139" s="34"/>
      <c r="M139" s="35"/>
      <c r="N139" s="34"/>
      <c r="O139" s="34"/>
      <c r="P139" s="34"/>
    </row>
    <row r="140" spans="1:16" ht="30" customHeight="1">
      <c r="A140" s="34"/>
      <c r="B140" s="34"/>
      <c r="C140" s="34"/>
      <c r="D140" s="34"/>
      <c r="E140" s="34"/>
      <c r="F140" s="34"/>
      <c r="G140" s="34"/>
      <c r="H140" s="34"/>
      <c r="I140" s="34"/>
      <c r="J140" s="34"/>
      <c r="K140" s="34"/>
      <c r="L140" s="34"/>
      <c r="M140" s="35"/>
      <c r="N140" s="34"/>
      <c r="O140" s="34"/>
      <c r="P140" s="34"/>
    </row>
    <row r="141" spans="1:16" ht="30" customHeight="1">
      <c r="A141" s="34"/>
      <c r="B141" s="34"/>
      <c r="C141" s="34"/>
      <c r="D141" s="34"/>
      <c r="E141" s="34"/>
      <c r="F141" s="34"/>
      <c r="G141" s="34"/>
      <c r="H141" s="34"/>
      <c r="I141" s="34"/>
      <c r="J141" s="34"/>
      <c r="K141" s="34"/>
      <c r="L141" s="34"/>
      <c r="M141" s="35"/>
      <c r="N141" s="34"/>
      <c r="O141" s="34"/>
      <c r="P141" s="34"/>
    </row>
    <row r="142" spans="1:16" ht="30" customHeight="1">
      <c r="A142" s="34"/>
      <c r="B142" s="34"/>
      <c r="C142" s="34"/>
      <c r="D142" s="34"/>
      <c r="E142" s="34"/>
      <c r="F142" s="34"/>
      <c r="G142" s="34"/>
      <c r="H142" s="34"/>
      <c r="I142" s="34"/>
      <c r="J142" s="34"/>
      <c r="K142" s="34"/>
      <c r="L142" s="34"/>
      <c r="M142" s="35"/>
      <c r="N142" s="34"/>
      <c r="O142" s="34"/>
      <c r="P142" s="34"/>
    </row>
    <row r="143" spans="1:16" ht="30" customHeight="1">
      <c r="A143" s="34"/>
      <c r="B143" s="34"/>
      <c r="C143" s="34"/>
      <c r="D143" s="34"/>
      <c r="E143" s="34"/>
      <c r="F143" s="34"/>
      <c r="G143" s="34"/>
      <c r="H143" s="34"/>
      <c r="I143" s="34"/>
      <c r="J143" s="34"/>
      <c r="K143" s="34"/>
      <c r="L143" s="34"/>
      <c r="M143" s="35"/>
      <c r="N143" s="34"/>
      <c r="O143" s="34"/>
      <c r="P143" s="34"/>
    </row>
    <row r="144" spans="1:16" ht="30" customHeight="1">
      <c r="A144" s="34"/>
      <c r="B144" s="34"/>
      <c r="C144" s="34"/>
      <c r="D144" s="34"/>
      <c r="E144" s="34"/>
      <c r="F144" s="34"/>
      <c r="G144" s="34"/>
      <c r="H144" s="34"/>
      <c r="I144" s="34"/>
      <c r="J144" s="34"/>
      <c r="K144" s="34"/>
      <c r="L144" s="34"/>
      <c r="M144" s="35"/>
      <c r="N144" s="34"/>
      <c r="O144" s="34"/>
      <c r="P144" s="34"/>
    </row>
    <row r="145" spans="1:16" ht="30" customHeight="1">
      <c r="A145" s="34"/>
      <c r="B145" s="34"/>
      <c r="C145" s="34"/>
      <c r="D145" s="34"/>
      <c r="E145" s="34"/>
      <c r="F145" s="34"/>
      <c r="G145" s="34"/>
      <c r="H145" s="34"/>
      <c r="I145" s="34"/>
      <c r="J145" s="34"/>
      <c r="K145" s="34"/>
      <c r="L145" s="34"/>
      <c r="M145" s="35"/>
      <c r="N145" s="34"/>
      <c r="O145" s="34"/>
      <c r="P145" s="34"/>
    </row>
    <row r="146" spans="1:16" ht="30" customHeight="1">
      <c r="A146" s="34"/>
      <c r="B146" s="34"/>
      <c r="C146" s="34"/>
      <c r="D146" s="34"/>
      <c r="E146" s="34"/>
      <c r="F146" s="34"/>
      <c r="G146" s="34"/>
      <c r="H146" s="34"/>
      <c r="I146" s="34"/>
      <c r="J146" s="34"/>
      <c r="K146" s="34"/>
      <c r="L146" s="34"/>
      <c r="M146" s="35"/>
      <c r="N146" s="34"/>
      <c r="O146" s="34"/>
      <c r="P146" s="34"/>
    </row>
    <row r="147" spans="1:16" ht="30" customHeight="1">
      <c r="A147" s="34"/>
      <c r="B147" s="34"/>
      <c r="C147" s="34"/>
      <c r="D147" s="34"/>
      <c r="E147" s="34"/>
      <c r="F147" s="34"/>
      <c r="G147" s="34"/>
      <c r="H147" s="34"/>
      <c r="I147" s="34"/>
      <c r="J147" s="34"/>
      <c r="K147" s="34"/>
      <c r="L147" s="34"/>
      <c r="M147" s="35"/>
      <c r="N147" s="34"/>
      <c r="O147" s="34"/>
      <c r="P147" s="34"/>
    </row>
    <row r="148" spans="1:16" ht="30" customHeight="1">
      <c r="A148" s="34"/>
      <c r="B148" s="34"/>
      <c r="C148" s="34"/>
      <c r="D148" s="34"/>
      <c r="E148" s="34"/>
      <c r="F148" s="34"/>
      <c r="G148" s="34"/>
      <c r="H148" s="34"/>
      <c r="I148" s="34"/>
      <c r="J148" s="34"/>
      <c r="K148" s="34"/>
      <c r="L148" s="34"/>
      <c r="M148" s="35"/>
      <c r="N148" s="34"/>
      <c r="O148" s="34"/>
      <c r="P148" s="34"/>
    </row>
    <row r="149" spans="1:16" ht="30" customHeight="1">
      <c r="A149" s="34"/>
      <c r="B149" s="34"/>
      <c r="C149" s="34"/>
      <c r="D149" s="34"/>
      <c r="E149" s="34"/>
      <c r="F149" s="34"/>
      <c r="G149" s="34"/>
      <c r="H149" s="34"/>
      <c r="I149" s="34"/>
      <c r="J149" s="34"/>
      <c r="K149" s="34"/>
      <c r="L149" s="34"/>
      <c r="M149" s="35"/>
      <c r="N149" s="34"/>
      <c r="O149" s="34"/>
      <c r="P149" s="34"/>
    </row>
    <row r="150" spans="1:16" ht="30" customHeight="1">
      <c r="A150" s="34"/>
      <c r="B150" s="34"/>
      <c r="C150" s="34"/>
      <c r="D150" s="34"/>
      <c r="E150" s="34"/>
      <c r="F150" s="34"/>
      <c r="G150" s="34"/>
      <c r="H150" s="34"/>
      <c r="I150" s="34"/>
      <c r="J150" s="34"/>
      <c r="K150" s="34"/>
      <c r="L150" s="34"/>
      <c r="M150" s="35"/>
      <c r="N150" s="34"/>
      <c r="O150" s="34"/>
      <c r="P150" s="34"/>
    </row>
    <row r="151" spans="1:16" ht="30" customHeight="1">
      <c r="A151" s="34"/>
      <c r="B151" s="34"/>
      <c r="C151" s="34"/>
      <c r="D151" s="34"/>
      <c r="E151" s="34"/>
      <c r="F151" s="34"/>
      <c r="G151" s="34"/>
      <c r="H151" s="34"/>
      <c r="I151" s="34"/>
      <c r="J151" s="34"/>
      <c r="K151" s="34"/>
      <c r="L151" s="34"/>
      <c r="M151" s="35"/>
      <c r="N151" s="34"/>
      <c r="O151" s="34"/>
      <c r="P151" s="34"/>
    </row>
    <row r="152" spans="1:16" ht="30" customHeight="1">
      <c r="A152" s="34"/>
      <c r="B152" s="34"/>
      <c r="C152" s="34"/>
      <c r="D152" s="34"/>
      <c r="E152" s="34"/>
      <c r="F152" s="34"/>
      <c r="G152" s="34"/>
      <c r="H152" s="34"/>
      <c r="I152" s="34"/>
      <c r="J152" s="34"/>
      <c r="K152" s="34"/>
      <c r="L152" s="34"/>
      <c r="M152" s="35"/>
      <c r="N152" s="34"/>
      <c r="O152" s="34"/>
      <c r="P152" s="34"/>
    </row>
    <row r="153" spans="1:16" ht="30" customHeight="1">
      <c r="A153" s="34"/>
      <c r="B153" s="34"/>
      <c r="C153" s="34"/>
      <c r="D153" s="34"/>
      <c r="E153" s="34"/>
      <c r="F153" s="34"/>
      <c r="G153" s="34"/>
      <c r="H153" s="34"/>
      <c r="I153" s="34"/>
      <c r="J153" s="34"/>
      <c r="K153" s="34"/>
      <c r="L153" s="34"/>
      <c r="M153" s="35"/>
      <c r="N153" s="34"/>
      <c r="O153" s="34"/>
      <c r="P153" s="34"/>
    </row>
    <row r="154" spans="1:16" ht="30" customHeight="1">
      <c r="A154" s="34"/>
      <c r="B154" s="34"/>
      <c r="C154" s="34"/>
      <c r="D154" s="34"/>
      <c r="E154" s="34"/>
      <c r="F154" s="34"/>
      <c r="G154" s="34"/>
      <c r="H154" s="34"/>
      <c r="I154" s="34"/>
      <c r="J154" s="34"/>
      <c r="K154" s="34"/>
      <c r="L154" s="34"/>
      <c r="M154" s="35"/>
      <c r="N154" s="34"/>
      <c r="O154" s="34"/>
      <c r="P154" s="34"/>
    </row>
    <row r="155" spans="1:16" ht="30" customHeight="1">
      <c r="A155" s="34"/>
      <c r="B155" s="34"/>
      <c r="C155" s="34"/>
      <c r="D155" s="34"/>
      <c r="E155" s="34"/>
      <c r="F155" s="34"/>
      <c r="G155" s="34"/>
      <c r="H155" s="34"/>
      <c r="I155" s="34"/>
      <c r="J155" s="34"/>
      <c r="K155" s="34"/>
      <c r="L155" s="34"/>
      <c r="M155" s="35"/>
      <c r="N155" s="34"/>
      <c r="O155" s="34"/>
      <c r="P155" s="34"/>
    </row>
    <row r="156" spans="1:16" ht="30" customHeight="1">
      <c r="A156" s="34"/>
      <c r="B156" s="34"/>
      <c r="C156" s="34"/>
      <c r="D156" s="34"/>
      <c r="E156" s="34"/>
      <c r="F156" s="34"/>
      <c r="G156" s="34"/>
      <c r="H156" s="34"/>
      <c r="I156" s="34"/>
      <c r="J156" s="34"/>
      <c r="K156" s="34"/>
      <c r="L156" s="34"/>
      <c r="M156" s="35"/>
      <c r="N156" s="34"/>
      <c r="O156" s="34"/>
      <c r="P156" s="34"/>
    </row>
    <row r="157" spans="1:16" ht="30" customHeight="1">
      <c r="A157" s="34"/>
      <c r="B157" s="34"/>
      <c r="C157" s="34"/>
      <c r="D157" s="34"/>
      <c r="E157" s="34"/>
      <c r="F157" s="34"/>
      <c r="G157" s="34"/>
      <c r="H157" s="34"/>
      <c r="I157" s="34"/>
      <c r="J157" s="34"/>
      <c r="K157" s="34"/>
      <c r="L157" s="34"/>
      <c r="M157" s="35"/>
      <c r="N157" s="34"/>
      <c r="O157" s="34"/>
      <c r="P157" s="34"/>
    </row>
    <row r="158" spans="1:16" ht="30" customHeight="1">
      <c r="A158" s="34"/>
      <c r="B158" s="34"/>
      <c r="C158" s="34"/>
      <c r="D158" s="34"/>
      <c r="E158" s="34"/>
      <c r="F158" s="34"/>
      <c r="G158" s="34"/>
      <c r="H158" s="34"/>
      <c r="I158" s="34"/>
      <c r="J158" s="34"/>
      <c r="K158" s="34"/>
      <c r="L158" s="34"/>
      <c r="M158" s="35"/>
      <c r="N158" s="34"/>
      <c r="O158" s="34"/>
      <c r="P158" s="34"/>
    </row>
    <row r="159" spans="1:16" ht="30" customHeight="1">
      <c r="A159" s="34"/>
      <c r="B159" s="34"/>
      <c r="C159" s="34"/>
      <c r="D159" s="34"/>
      <c r="E159" s="34"/>
      <c r="F159" s="34"/>
      <c r="G159" s="34"/>
      <c r="H159" s="34"/>
      <c r="I159" s="34"/>
      <c r="J159" s="34"/>
      <c r="K159" s="34"/>
      <c r="L159" s="34"/>
      <c r="M159" s="35"/>
      <c r="N159" s="34"/>
      <c r="O159" s="34"/>
      <c r="P159" s="34"/>
    </row>
    <row r="160" spans="1:16" ht="30" customHeight="1">
      <c r="A160" s="34"/>
      <c r="B160" s="34"/>
      <c r="C160" s="34"/>
      <c r="D160" s="34"/>
      <c r="E160" s="34"/>
      <c r="F160" s="34"/>
      <c r="G160" s="34"/>
      <c r="H160" s="34"/>
      <c r="I160" s="34"/>
      <c r="J160" s="34"/>
      <c r="K160" s="34"/>
      <c r="L160" s="34"/>
      <c r="M160" s="35"/>
      <c r="N160" s="34"/>
      <c r="O160" s="34"/>
      <c r="P160" s="34"/>
    </row>
    <row r="161" spans="1:16" ht="30" customHeight="1">
      <c r="A161" s="34"/>
      <c r="B161" s="34"/>
      <c r="C161" s="34"/>
      <c r="D161" s="34"/>
      <c r="E161" s="34"/>
      <c r="F161" s="34"/>
      <c r="G161" s="34"/>
      <c r="H161" s="34"/>
      <c r="I161" s="34"/>
      <c r="J161" s="34"/>
      <c r="K161" s="34"/>
      <c r="L161" s="34"/>
      <c r="M161" s="35"/>
      <c r="N161" s="34"/>
      <c r="O161" s="34"/>
      <c r="P161" s="34"/>
    </row>
    <row r="162" spans="1:16" ht="30" customHeight="1">
      <c r="A162" s="34"/>
      <c r="B162" s="34"/>
      <c r="C162" s="34"/>
      <c r="D162" s="34"/>
      <c r="E162" s="34"/>
      <c r="F162" s="34"/>
      <c r="G162" s="34"/>
      <c r="H162" s="34"/>
      <c r="I162" s="34"/>
      <c r="J162" s="34"/>
      <c r="K162" s="34"/>
      <c r="L162" s="34"/>
      <c r="M162" s="35"/>
      <c r="N162" s="34"/>
      <c r="O162" s="34"/>
      <c r="P162" s="34"/>
    </row>
    <row r="163" spans="1:16" ht="30" customHeight="1">
      <c r="A163" s="34"/>
      <c r="B163" s="34"/>
      <c r="C163" s="34"/>
      <c r="D163" s="34"/>
      <c r="E163" s="34"/>
      <c r="F163" s="34"/>
      <c r="G163" s="34"/>
      <c r="H163" s="34"/>
      <c r="I163" s="34"/>
      <c r="J163" s="34"/>
      <c r="K163" s="34"/>
      <c r="L163" s="34"/>
      <c r="M163" s="35"/>
      <c r="N163" s="34"/>
      <c r="O163" s="34"/>
      <c r="P163" s="34"/>
    </row>
    <row r="164" spans="1:16" ht="30" customHeight="1">
      <c r="A164" s="34"/>
      <c r="B164" s="34"/>
      <c r="C164" s="34"/>
      <c r="D164" s="34"/>
      <c r="E164" s="34"/>
      <c r="F164" s="34"/>
      <c r="G164" s="34"/>
      <c r="H164" s="34"/>
      <c r="I164" s="34"/>
      <c r="J164" s="34"/>
      <c r="K164" s="34"/>
      <c r="L164" s="34"/>
      <c r="M164" s="35"/>
      <c r="N164" s="34"/>
      <c r="O164" s="34"/>
      <c r="P164" s="34"/>
    </row>
    <row r="165" spans="1:16" ht="30" customHeight="1">
      <c r="A165" s="34"/>
      <c r="B165" s="34"/>
      <c r="C165" s="34"/>
      <c r="D165" s="34"/>
      <c r="E165" s="34"/>
      <c r="F165" s="34"/>
      <c r="G165" s="34"/>
      <c r="H165" s="34"/>
      <c r="I165" s="34"/>
      <c r="J165" s="34"/>
      <c r="K165" s="34"/>
      <c r="L165" s="34"/>
      <c r="M165" s="35"/>
      <c r="N165" s="34"/>
      <c r="O165" s="34"/>
      <c r="P165" s="34"/>
    </row>
    <row r="166" spans="1:16" ht="30" customHeight="1">
      <c r="A166" s="34"/>
      <c r="B166" s="34"/>
      <c r="C166" s="34"/>
      <c r="D166" s="34"/>
      <c r="E166" s="34"/>
      <c r="F166" s="34"/>
      <c r="G166" s="34"/>
      <c r="H166" s="34"/>
      <c r="I166" s="34"/>
      <c r="J166" s="34"/>
      <c r="K166" s="34"/>
      <c r="L166" s="34"/>
      <c r="M166" s="35"/>
      <c r="N166" s="34"/>
      <c r="O166" s="34"/>
      <c r="P166" s="34"/>
    </row>
    <row r="167" spans="1:16" ht="30" customHeight="1">
      <c r="A167" s="34"/>
      <c r="B167" s="34"/>
      <c r="C167" s="34"/>
      <c r="D167" s="34"/>
      <c r="E167" s="34"/>
      <c r="F167" s="34"/>
      <c r="G167" s="34"/>
      <c r="H167" s="34"/>
      <c r="I167" s="34"/>
      <c r="J167" s="34"/>
      <c r="K167" s="34"/>
      <c r="L167" s="34"/>
      <c r="M167" s="35"/>
      <c r="N167" s="34"/>
      <c r="O167" s="34"/>
      <c r="P167" s="34"/>
    </row>
    <row r="168" spans="1:16" ht="30" customHeight="1">
      <c r="A168" s="34"/>
      <c r="B168" s="34"/>
      <c r="C168" s="34"/>
      <c r="D168" s="34"/>
      <c r="E168" s="34"/>
      <c r="F168" s="34"/>
      <c r="G168" s="34"/>
      <c r="H168" s="34"/>
      <c r="I168" s="34"/>
      <c r="J168" s="34"/>
      <c r="K168" s="34"/>
      <c r="L168" s="34"/>
      <c r="M168" s="35"/>
      <c r="N168" s="34"/>
      <c r="O168" s="34"/>
      <c r="P168" s="34"/>
    </row>
    <row r="169" spans="1:16" ht="30" customHeight="1">
      <c r="A169" s="34"/>
      <c r="B169" s="34"/>
      <c r="C169" s="34"/>
      <c r="D169" s="34"/>
      <c r="E169" s="34"/>
      <c r="F169" s="34"/>
      <c r="G169" s="34"/>
      <c r="H169" s="34"/>
      <c r="I169" s="34"/>
      <c r="J169" s="34"/>
      <c r="K169" s="34"/>
      <c r="L169" s="34"/>
      <c r="M169" s="35"/>
      <c r="N169" s="34"/>
      <c r="O169" s="34"/>
      <c r="P169" s="34"/>
    </row>
    <row r="170" spans="1:16" ht="30" customHeight="1">
      <c r="A170" s="34"/>
      <c r="B170" s="34"/>
      <c r="C170" s="34"/>
      <c r="D170" s="34"/>
      <c r="E170" s="34"/>
      <c r="F170" s="34"/>
      <c r="G170" s="34"/>
      <c r="H170" s="34"/>
      <c r="I170" s="34"/>
      <c r="J170" s="34"/>
      <c r="K170" s="34"/>
      <c r="L170" s="34"/>
      <c r="M170" s="35"/>
      <c r="N170" s="34"/>
      <c r="O170" s="34"/>
      <c r="P170" s="34"/>
    </row>
    <row r="171" spans="1:16" ht="30" customHeight="1">
      <c r="A171" s="34"/>
      <c r="B171" s="34"/>
      <c r="C171" s="34"/>
      <c r="D171" s="34"/>
      <c r="E171" s="34"/>
      <c r="F171" s="34"/>
      <c r="G171" s="34"/>
      <c r="H171" s="34"/>
      <c r="I171" s="34"/>
      <c r="J171" s="34"/>
      <c r="K171" s="34"/>
      <c r="L171" s="34"/>
      <c r="M171" s="35"/>
      <c r="N171" s="34"/>
      <c r="O171" s="34"/>
      <c r="P171" s="34"/>
    </row>
    <row r="172" spans="1:16" ht="30" customHeight="1">
      <c r="A172" s="34"/>
      <c r="B172" s="34"/>
      <c r="C172" s="34"/>
      <c r="D172" s="34"/>
      <c r="E172" s="34"/>
      <c r="F172" s="34"/>
      <c r="G172" s="34"/>
      <c r="H172" s="34"/>
      <c r="I172" s="34"/>
      <c r="J172" s="34"/>
      <c r="K172" s="34"/>
      <c r="L172" s="34"/>
      <c r="M172" s="35"/>
      <c r="N172" s="34"/>
      <c r="O172" s="34"/>
      <c r="P172" s="34"/>
    </row>
    <row r="173" spans="1:16" ht="30" customHeight="1">
      <c r="A173" s="34"/>
      <c r="B173" s="34"/>
      <c r="C173" s="34"/>
      <c r="D173" s="34"/>
      <c r="E173" s="34"/>
      <c r="F173" s="34"/>
      <c r="G173" s="34"/>
      <c r="H173" s="34"/>
      <c r="I173" s="34"/>
      <c r="J173" s="34"/>
      <c r="K173" s="34"/>
      <c r="L173" s="34"/>
      <c r="M173" s="35"/>
      <c r="N173" s="34"/>
      <c r="O173" s="34"/>
      <c r="P173" s="34"/>
    </row>
    <row r="174" spans="1:16" ht="30" customHeight="1">
      <c r="A174" s="34"/>
      <c r="B174" s="34"/>
      <c r="C174" s="34"/>
      <c r="D174" s="34"/>
      <c r="E174" s="34"/>
      <c r="F174" s="34"/>
      <c r="G174" s="34"/>
      <c r="H174" s="34"/>
      <c r="I174" s="34"/>
      <c r="J174" s="34"/>
      <c r="K174" s="34"/>
      <c r="L174" s="34"/>
      <c r="M174" s="35"/>
      <c r="N174" s="34"/>
      <c r="O174" s="34"/>
      <c r="P174" s="34"/>
    </row>
    <row r="175" spans="1:16" ht="30" customHeight="1">
      <c r="A175" s="34"/>
      <c r="B175" s="34"/>
      <c r="C175" s="34"/>
      <c r="D175" s="34"/>
      <c r="E175" s="34"/>
      <c r="F175" s="34"/>
      <c r="G175" s="34"/>
      <c r="H175" s="34"/>
      <c r="I175" s="34"/>
      <c r="J175" s="34"/>
      <c r="K175" s="34"/>
      <c r="L175" s="34"/>
      <c r="M175" s="35"/>
      <c r="N175" s="34"/>
      <c r="O175" s="34"/>
      <c r="P175" s="34"/>
    </row>
    <row r="176" spans="1:16" ht="30" customHeight="1">
      <c r="A176" s="34"/>
      <c r="B176" s="34"/>
      <c r="C176" s="34"/>
      <c r="D176" s="34"/>
      <c r="E176" s="34"/>
      <c r="F176" s="34"/>
      <c r="G176" s="34"/>
      <c r="H176" s="34"/>
      <c r="I176" s="34"/>
      <c r="J176" s="34"/>
      <c r="K176" s="34"/>
      <c r="L176" s="34"/>
      <c r="M176" s="35"/>
      <c r="N176" s="34"/>
      <c r="O176" s="34"/>
      <c r="P176" s="34"/>
    </row>
    <row r="177" spans="1:16" ht="30" customHeight="1">
      <c r="A177" s="34"/>
      <c r="B177" s="34"/>
      <c r="C177" s="34"/>
      <c r="D177" s="34"/>
      <c r="E177" s="34"/>
      <c r="F177" s="34"/>
      <c r="G177" s="34"/>
      <c r="H177" s="34"/>
      <c r="I177" s="34"/>
      <c r="J177" s="34"/>
      <c r="K177" s="34"/>
      <c r="L177" s="34"/>
      <c r="M177" s="35"/>
      <c r="N177" s="34"/>
      <c r="O177" s="34"/>
      <c r="P177" s="34"/>
    </row>
    <row r="178" spans="1:16" ht="30" customHeight="1">
      <c r="A178" s="34"/>
      <c r="B178" s="34"/>
      <c r="C178" s="34"/>
      <c r="D178" s="34"/>
      <c r="E178" s="34"/>
      <c r="F178" s="34"/>
      <c r="G178" s="34"/>
      <c r="H178" s="34"/>
      <c r="I178" s="34"/>
      <c r="J178" s="34"/>
      <c r="K178" s="34"/>
      <c r="L178" s="34"/>
      <c r="M178" s="35"/>
      <c r="N178" s="34"/>
      <c r="O178" s="34"/>
      <c r="P178" s="34"/>
    </row>
    <row r="179" spans="1:16" ht="30" customHeight="1">
      <c r="A179" s="34"/>
      <c r="B179" s="34"/>
      <c r="C179" s="34"/>
      <c r="D179" s="34"/>
      <c r="E179" s="34"/>
      <c r="F179" s="34"/>
      <c r="G179" s="34"/>
      <c r="H179" s="34"/>
      <c r="I179" s="34"/>
      <c r="J179" s="34"/>
      <c r="K179" s="34"/>
      <c r="L179" s="34"/>
      <c r="M179" s="35"/>
      <c r="N179" s="34"/>
      <c r="O179" s="34"/>
      <c r="P179" s="34"/>
    </row>
    <row r="180" spans="1:16" ht="30" customHeight="1">
      <c r="A180" s="34"/>
      <c r="B180" s="34"/>
      <c r="C180" s="34"/>
      <c r="D180" s="34"/>
      <c r="E180" s="34"/>
      <c r="F180" s="34"/>
      <c r="G180" s="34"/>
      <c r="H180" s="34"/>
      <c r="I180" s="34"/>
      <c r="J180" s="34"/>
      <c r="K180" s="34"/>
      <c r="L180" s="34"/>
      <c r="M180" s="35"/>
      <c r="N180" s="34"/>
      <c r="O180" s="34"/>
      <c r="P180" s="34"/>
    </row>
    <row r="181" spans="1:16" ht="30" customHeight="1">
      <c r="A181" s="34"/>
      <c r="B181" s="34"/>
      <c r="C181" s="34"/>
      <c r="D181" s="34"/>
      <c r="E181" s="34"/>
      <c r="F181" s="34"/>
      <c r="G181" s="34"/>
      <c r="H181" s="34"/>
      <c r="I181" s="34"/>
      <c r="J181" s="34"/>
      <c r="K181" s="34"/>
      <c r="L181" s="34"/>
      <c r="M181" s="35"/>
      <c r="N181" s="34"/>
      <c r="O181" s="34"/>
      <c r="P181" s="34"/>
    </row>
    <row r="182" spans="1:16" ht="30" customHeight="1">
      <c r="A182" s="34"/>
      <c r="B182" s="34"/>
      <c r="C182" s="34"/>
      <c r="D182" s="34"/>
      <c r="E182" s="34"/>
      <c r="F182" s="34"/>
      <c r="G182" s="34"/>
      <c r="H182" s="34"/>
      <c r="I182" s="34"/>
      <c r="J182" s="34"/>
      <c r="K182" s="34"/>
      <c r="L182" s="34"/>
      <c r="M182" s="35"/>
      <c r="N182" s="34"/>
      <c r="O182" s="34"/>
      <c r="P182" s="34"/>
    </row>
    <row r="183" spans="1:16" ht="30" customHeight="1">
      <c r="A183" s="34"/>
      <c r="B183" s="34"/>
      <c r="C183" s="34"/>
      <c r="D183" s="34"/>
      <c r="E183" s="34"/>
      <c r="F183" s="34"/>
      <c r="G183" s="34"/>
      <c r="H183" s="34"/>
      <c r="I183" s="34"/>
      <c r="J183" s="34"/>
      <c r="K183" s="34"/>
      <c r="L183" s="34"/>
      <c r="M183" s="35"/>
      <c r="N183" s="34"/>
      <c r="O183" s="34"/>
      <c r="P183" s="34"/>
    </row>
    <row r="184" spans="1:16" ht="30" customHeight="1">
      <c r="A184" s="34"/>
      <c r="B184" s="34"/>
      <c r="C184" s="34"/>
      <c r="D184" s="34"/>
      <c r="E184" s="34"/>
      <c r="F184" s="34"/>
      <c r="G184" s="34"/>
      <c r="H184" s="34"/>
      <c r="I184" s="34"/>
      <c r="J184" s="34"/>
      <c r="K184" s="34"/>
      <c r="L184" s="34"/>
      <c r="M184" s="35"/>
      <c r="N184" s="34"/>
      <c r="O184" s="34"/>
      <c r="P184" s="34"/>
    </row>
    <row r="185" spans="1:16" ht="30" customHeight="1">
      <c r="A185" s="34"/>
      <c r="B185" s="34"/>
      <c r="C185" s="34"/>
      <c r="D185" s="34"/>
      <c r="E185" s="34"/>
      <c r="F185" s="34"/>
      <c r="G185" s="34"/>
      <c r="H185" s="34"/>
      <c r="I185" s="34"/>
      <c r="J185" s="34"/>
      <c r="K185" s="34"/>
      <c r="L185" s="34"/>
      <c r="M185" s="35"/>
      <c r="N185" s="34"/>
      <c r="O185" s="34"/>
      <c r="P185" s="34"/>
    </row>
    <row r="186" spans="1:16" ht="30" customHeight="1">
      <c r="A186" s="34"/>
      <c r="B186" s="34"/>
      <c r="C186" s="34"/>
      <c r="D186" s="34"/>
      <c r="E186" s="34"/>
      <c r="F186" s="34"/>
      <c r="G186" s="34"/>
      <c r="H186" s="34"/>
      <c r="I186" s="34"/>
      <c r="J186" s="34"/>
      <c r="K186" s="34"/>
      <c r="L186" s="34"/>
      <c r="M186" s="35"/>
      <c r="N186" s="34"/>
      <c r="O186" s="34"/>
      <c r="P186" s="34"/>
    </row>
    <row r="187" spans="1:16" ht="30" customHeight="1">
      <c r="A187" s="34"/>
      <c r="B187" s="34"/>
      <c r="C187" s="34"/>
      <c r="D187" s="34"/>
      <c r="E187" s="34"/>
      <c r="F187" s="34"/>
      <c r="G187" s="34"/>
      <c r="H187" s="34"/>
      <c r="I187" s="34"/>
      <c r="J187" s="34"/>
      <c r="K187" s="34"/>
      <c r="L187" s="34"/>
      <c r="M187" s="35"/>
      <c r="N187" s="34"/>
      <c r="O187" s="34"/>
      <c r="P187" s="34"/>
    </row>
    <row r="188" spans="1:16" ht="30" customHeight="1">
      <c r="A188" s="34"/>
      <c r="B188" s="34"/>
      <c r="C188" s="34"/>
      <c r="D188" s="34"/>
      <c r="E188" s="34"/>
      <c r="F188" s="34"/>
      <c r="G188" s="34"/>
      <c r="H188" s="34"/>
      <c r="I188" s="34"/>
      <c r="J188" s="34"/>
      <c r="K188" s="34"/>
      <c r="L188" s="34"/>
      <c r="M188" s="35"/>
      <c r="N188" s="34"/>
      <c r="O188" s="34"/>
      <c r="P188" s="34"/>
    </row>
    <row r="189" spans="1:16" ht="30" customHeight="1">
      <c r="A189" s="34"/>
      <c r="B189" s="34"/>
      <c r="C189" s="34"/>
      <c r="D189" s="34"/>
      <c r="E189" s="34"/>
      <c r="F189" s="34"/>
      <c r="G189" s="34"/>
      <c r="H189" s="34"/>
      <c r="I189" s="34"/>
      <c r="J189" s="34"/>
      <c r="K189" s="34"/>
      <c r="L189" s="34"/>
      <c r="M189" s="35"/>
      <c r="N189" s="34"/>
      <c r="O189" s="34"/>
      <c r="P189" s="34"/>
    </row>
    <row r="190" spans="1:16" ht="30" customHeight="1">
      <c r="A190" s="34"/>
      <c r="B190" s="34"/>
      <c r="C190" s="34"/>
      <c r="D190" s="34"/>
      <c r="E190" s="34"/>
      <c r="F190" s="34"/>
      <c r="G190" s="34"/>
      <c r="H190" s="34"/>
      <c r="I190" s="34"/>
      <c r="J190" s="34"/>
      <c r="K190" s="34"/>
      <c r="L190" s="34"/>
      <c r="M190" s="35"/>
      <c r="N190" s="34"/>
      <c r="O190" s="34"/>
      <c r="P190" s="34"/>
    </row>
    <row r="191" spans="1:16" ht="30" customHeight="1">
      <c r="A191" s="34"/>
      <c r="B191" s="34"/>
      <c r="C191" s="34"/>
      <c r="D191" s="34"/>
      <c r="E191" s="34"/>
      <c r="F191" s="34"/>
      <c r="G191" s="34"/>
      <c r="H191" s="34"/>
      <c r="I191" s="34"/>
      <c r="J191" s="34"/>
      <c r="K191" s="34"/>
      <c r="L191" s="34"/>
      <c r="M191" s="35"/>
      <c r="N191" s="34"/>
      <c r="O191" s="34"/>
      <c r="P191" s="34"/>
    </row>
    <row r="192" spans="1:16" ht="30" customHeight="1">
      <c r="A192" s="34"/>
      <c r="B192" s="34"/>
      <c r="C192" s="34"/>
      <c r="D192" s="34"/>
      <c r="E192" s="34"/>
      <c r="F192" s="34"/>
      <c r="G192" s="34"/>
      <c r="H192" s="34"/>
      <c r="I192" s="34"/>
      <c r="J192" s="34"/>
      <c r="K192" s="34"/>
      <c r="L192" s="34"/>
      <c r="M192" s="35"/>
      <c r="N192" s="34"/>
      <c r="O192" s="34"/>
      <c r="P192" s="34"/>
    </row>
    <row r="193" spans="1:16" ht="30" customHeight="1">
      <c r="A193" s="34"/>
      <c r="B193" s="34"/>
      <c r="C193" s="34"/>
      <c r="D193" s="34"/>
      <c r="E193" s="34"/>
      <c r="F193" s="34"/>
      <c r="G193" s="34"/>
      <c r="H193" s="34"/>
      <c r="I193" s="34"/>
      <c r="J193" s="34"/>
      <c r="K193" s="34"/>
      <c r="L193" s="34"/>
      <c r="M193" s="35"/>
      <c r="N193" s="34"/>
      <c r="O193" s="34"/>
      <c r="P193" s="34"/>
    </row>
    <row r="194" spans="1:16" ht="30" customHeight="1">
      <c r="A194" s="34"/>
      <c r="B194" s="34"/>
      <c r="C194" s="34"/>
      <c r="D194" s="34"/>
      <c r="E194" s="34"/>
      <c r="F194" s="34"/>
      <c r="G194" s="34"/>
      <c r="H194" s="34"/>
      <c r="I194" s="34"/>
      <c r="J194" s="34"/>
      <c r="K194" s="34"/>
      <c r="L194" s="34"/>
      <c r="M194" s="35"/>
      <c r="N194" s="34"/>
      <c r="O194" s="34"/>
      <c r="P194" s="34"/>
    </row>
    <row r="195" spans="1:16" ht="30" customHeight="1">
      <c r="A195" s="34"/>
      <c r="B195" s="34"/>
      <c r="C195" s="34"/>
      <c r="D195" s="34"/>
      <c r="E195" s="34"/>
      <c r="F195" s="34"/>
      <c r="G195" s="34"/>
      <c r="H195" s="34"/>
      <c r="I195" s="34"/>
      <c r="J195" s="34"/>
      <c r="K195" s="34"/>
      <c r="L195" s="34"/>
      <c r="M195" s="35"/>
      <c r="N195" s="34"/>
      <c r="O195" s="34"/>
      <c r="P195" s="34"/>
    </row>
    <row r="196" spans="1:16" ht="30" customHeight="1">
      <c r="A196" s="34"/>
      <c r="B196" s="34"/>
      <c r="C196" s="34"/>
      <c r="D196" s="34"/>
      <c r="E196" s="34"/>
      <c r="F196" s="34"/>
      <c r="G196" s="34"/>
      <c r="H196" s="34"/>
      <c r="I196" s="34"/>
      <c r="J196" s="34"/>
      <c r="K196" s="34"/>
      <c r="L196" s="34"/>
      <c r="M196" s="35"/>
      <c r="N196" s="34"/>
      <c r="O196" s="34"/>
      <c r="P196" s="34"/>
    </row>
    <row r="197" spans="1:16" ht="30" customHeight="1">
      <c r="A197" s="34"/>
      <c r="B197" s="34"/>
      <c r="C197" s="34"/>
      <c r="D197" s="34"/>
      <c r="E197" s="34"/>
      <c r="F197" s="34"/>
      <c r="G197" s="34"/>
      <c r="H197" s="34"/>
      <c r="I197" s="34"/>
      <c r="J197" s="34"/>
      <c r="K197" s="34"/>
      <c r="L197" s="34"/>
      <c r="M197" s="35"/>
      <c r="N197" s="34"/>
      <c r="O197" s="34"/>
      <c r="P197" s="34"/>
    </row>
    <row r="198" spans="1:16" ht="30" customHeight="1">
      <c r="A198" s="34"/>
      <c r="B198" s="34"/>
      <c r="C198" s="34"/>
      <c r="D198" s="34"/>
      <c r="E198" s="34"/>
      <c r="F198" s="34"/>
      <c r="G198" s="34"/>
      <c r="H198" s="34"/>
      <c r="I198" s="34"/>
      <c r="J198" s="34"/>
      <c r="K198" s="34"/>
      <c r="L198" s="34"/>
      <c r="M198" s="35"/>
      <c r="N198" s="34"/>
      <c r="O198" s="34"/>
      <c r="P198" s="34"/>
    </row>
    <row r="199" spans="1:16" ht="30" customHeight="1">
      <c r="A199" s="34"/>
      <c r="B199" s="34"/>
      <c r="C199" s="34"/>
      <c r="D199" s="34"/>
      <c r="E199" s="34"/>
      <c r="F199" s="34"/>
      <c r="G199" s="34"/>
      <c r="H199" s="34"/>
      <c r="I199" s="34"/>
      <c r="J199" s="34"/>
      <c r="K199" s="34"/>
      <c r="L199" s="34"/>
      <c r="M199" s="35"/>
      <c r="N199" s="34"/>
      <c r="O199" s="34"/>
      <c r="P199" s="34"/>
    </row>
    <row r="200" spans="1:16" ht="30" customHeight="1">
      <c r="A200" s="34"/>
      <c r="B200" s="34"/>
      <c r="C200" s="34"/>
      <c r="D200" s="34"/>
      <c r="E200" s="34"/>
      <c r="F200" s="34"/>
      <c r="G200" s="34"/>
      <c r="H200" s="34"/>
      <c r="I200" s="34"/>
      <c r="J200" s="34"/>
      <c r="K200" s="34"/>
      <c r="L200" s="34"/>
      <c r="M200" s="35"/>
      <c r="N200" s="34"/>
      <c r="O200" s="34"/>
      <c r="P200" s="34"/>
    </row>
    <row r="201" spans="1:16" ht="30" customHeight="1">
      <c r="A201" s="34"/>
      <c r="B201" s="34"/>
      <c r="C201" s="34"/>
      <c r="D201" s="34"/>
      <c r="E201" s="34"/>
      <c r="F201" s="34"/>
      <c r="G201" s="34"/>
      <c r="H201" s="34"/>
      <c r="I201" s="34"/>
      <c r="J201" s="34"/>
      <c r="K201" s="34"/>
      <c r="L201" s="34"/>
      <c r="M201" s="35"/>
      <c r="N201" s="34"/>
      <c r="O201" s="34"/>
      <c r="P201" s="34"/>
    </row>
    <row r="202" spans="1:16" ht="30" customHeight="1">
      <c r="A202" s="34"/>
      <c r="B202" s="34"/>
      <c r="C202" s="34"/>
      <c r="D202" s="34"/>
      <c r="E202" s="34"/>
      <c r="F202" s="34"/>
      <c r="G202" s="34"/>
      <c r="H202" s="34"/>
      <c r="I202" s="34"/>
      <c r="J202" s="34"/>
      <c r="K202" s="34"/>
      <c r="L202" s="34"/>
      <c r="M202" s="35"/>
      <c r="N202" s="34"/>
      <c r="O202" s="34"/>
      <c r="P202" s="34"/>
    </row>
    <row r="203" spans="1:16" ht="30" customHeight="1">
      <c r="A203" s="34"/>
      <c r="B203" s="34"/>
      <c r="C203" s="34"/>
      <c r="D203" s="34"/>
      <c r="E203" s="34"/>
      <c r="F203" s="34"/>
      <c r="G203" s="34"/>
      <c r="H203" s="34"/>
      <c r="I203" s="34"/>
      <c r="J203" s="34"/>
      <c r="K203" s="34"/>
      <c r="L203" s="34"/>
      <c r="M203" s="35"/>
      <c r="N203" s="34"/>
      <c r="O203" s="34"/>
      <c r="P203" s="34"/>
    </row>
    <row r="204" spans="1:16" ht="30" customHeight="1">
      <c r="A204" s="34"/>
      <c r="B204" s="34"/>
      <c r="C204" s="34"/>
      <c r="D204" s="34"/>
      <c r="E204" s="34"/>
      <c r="F204" s="34"/>
      <c r="G204" s="34"/>
      <c r="H204" s="34"/>
      <c r="I204" s="34"/>
      <c r="J204" s="34"/>
      <c r="K204" s="34"/>
      <c r="L204" s="34"/>
      <c r="M204" s="35"/>
      <c r="N204" s="34"/>
      <c r="O204" s="34"/>
      <c r="P204" s="34"/>
    </row>
    <row r="205" spans="1:16" ht="30" customHeight="1">
      <c r="A205" s="34"/>
      <c r="B205" s="34"/>
      <c r="C205" s="34"/>
      <c r="D205" s="34"/>
      <c r="E205" s="34"/>
      <c r="F205" s="34"/>
      <c r="G205" s="34"/>
      <c r="H205" s="34"/>
      <c r="I205" s="34"/>
      <c r="J205" s="34"/>
      <c r="K205" s="34"/>
      <c r="L205" s="34"/>
      <c r="M205" s="35"/>
      <c r="N205" s="34"/>
      <c r="O205" s="34"/>
      <c r="P205" s="34"/>
    </row>
    <row r="206" spans="1:16" ht="30" customHeight="1">
      <c r="A206" s="34"/>
      <c r="B206" s="34"/>
      <c r="C206" s="34"/>
      <c r="D206" s="34"/>
      <c r="E206" s="34"/>
      <c r="F206" s="34"/>
      <c r="G206" s="34"/>
      <c r="H206" s="34"/>
      <c r="I206" s="34"/>
      <c r="J206" s="34"/>
      <c r="K206" s="34"/>
      <c r="L206" s="34"/>
      <c r="M206" s="35"/>
      <c r="N206" s="34"/>
      <c r="O206" s="34"/>
      <c r="P206" s="34"/>
    </row>
    <row r="207" spans="1:16" ht="30" customHeight="1">
      <c r="A207" s="34"/>
      <c r="B207" s="34"/>
      <c r="C207" s="34"/>
      <c r="D207" s="34"/>
      <c r="E207" s="34"/>
      <c r="F207" s="34"/>
      <c r="G207" s="34"/>
      <c r="H207" s="34"/>
      <c r="I207" s="34"/>
      <c r="J207" s="34"/>
      <c r="K207" s="34"/>
      <c r="L207" s="34"/>
      <c r="M207" s="35"/>
      <c r="N207" s="34"/>
      <c r="O207" s="34"/>
      <c r="P207" s="34"/>
    </row>
    <row r="208" spans="1:16" ht="30" customHeight="1">
      <c r="A208" s="34"/>
      <c r="B208" s="34"/>
      <c r="C208" s="34"/>
      <c r="D208" s="34"/>
      <c r="E208" s="34"/>
      <c r="F208" s="34"/>
      <c r="G208" s="34"/>
      <c r="H208" s="34"/>
      <c r="I208" s="34"/>
      <c r="J208" s="34"/>
      <c r="K208" s="34"/>
      <c r="L208" s="34"/>
      <c r="M208" s="35"/>
      <c r="N208" s="34"/>
      <c r="O208" s="34"/>
      <c r="P208" s="34"/>
    </row>
    <row r="209" spans="1:16" ht="30" customHeight="1">
      <c r="A209" s="34"/>
      <c r="B209" s="34"/>
      <c r="C209" s="34"/>
      <c r="D209" s="34"/>
      <c r="E209" s="34"/>
      <c r="F209" s="34"/>
      <c r="G209" s="34"/>
      <c r="H209" s="34"/>
      <c r="I209" s="34"/>
      <c r="J209" s="34"/>
      <c r="K209" s="34"/>
      <c r="L209" s="34"/>
      <c r="M209" s="35"/>
      <c r="N209" s="34"/>
      <c r="O209" s="34"/>
      <c r="P209" s="34"/>
    </row>
    <row r="210" spans="1:16" ht="30" customHeight="1">
      <c r="A210" s="34"/>
      <c r="B210" s="34"/>
      <c r="C210" s="34"/>
      <c r="D210" s="34"/>
      <c r="E210" s="34"/>
      <c r="F210" s="34"/>
      <c r="G210" s="34"/>
      <c r="H210" s="34"/>
      <c r="I210" s="34"/>
      <c r="J210" s="34"/>
      <c r="K210" s="34"/>
      <c r="L210" s="34"/>
      <c r="M210" s="35"/>
      <c r="N210" s="34"/>
      <c r="O210" s="34"/>
      <c r="P210" s="34"/>
    </row>
    <row r="211" spans="1:16" ht="30" customHeight="1">
      <c r="A211" s="34"/>
      <c r="B211" s="34"/>
      <c r="C211" s="34"/>
      <c r="D211" s="34"/>
      <c r="E211" s="34"/>
      <c r="F211" s="34"/>
      <c r="G211" s="34"/>
      <c r="H211" s="34"/>
      <c r="I211" s="34"/>
      <c r="J211" s="34"/>
      <c r="K211" s="34"/>
      <c r="L211" s="34"/>
      <c r="M211" s="35"/>
      <c r="N211" s="34"/>
      <c r="O211" s="34"/>
      <c r="P211" s="34"/>
    </row>
    <row r="212" spans="1:16" ht="30" customHeight="1">
      <c r="A212" s="34"/>
      <c r="B212" s="34"/>
      <c r="C212" s="34"/>
      <c r="D212" s="34"/>
      <c r="E212" s="34"/>
      <c r="F212" s="34"/>
      <c r="G212" s="34"/>
      <c r="H212" s="34"/>
      <c r="I212" s="34"/>
      <c r="J212" s="34"/>
      <c r="K212" s="34"/>
      <c r="L212" s="34"/>
      <c r="M212" s="35"/>
      <c r="N212" s="34"/>
      <c r="O212" s="34"/>
      <c r="P212" s="34"/>
    </row>
    <row r="213" spans="1:16" ht="30" customHeight="1">
      <c r="A213" s="34"/>
      <c r="B213" s="34"/>
      <c r="C213" s="34"/>
      <c r="D213" s="34"/>
      <c r="E213" s="34"/>
      <c r="F213" s="34"/>
      <c r="G213" s="34"/>
      <c r="H213" s="34"/>
      <c r="I213" s="34"/>
      <c r="J213" s="34"/>
      <c r="K213" s="34"/>
      <c r="L213" s="34"/>
      <c r="M213" s="35"/>
      <c r="N213" s="34"/>
      <c r="O213" s="34"/>
      <c r="P213" s="34"/>
    </row>
    <row r="214" spans="1:16" ht="30" customHeight="1">
      <c r="A214" s="34"/>
      <c r="B214" s="34"/>
      <c r="C214" s="34"/>
      <c r="D214" s="34"/>
      <c r="E214" s="34"/>
      <c r="F214" s="34"/>
      <c r="G214" s="34"/>
      <c r="H214" s="34"/>
      <c r="I214" s="34"/>
      <c r="J214" s="34"/>
      <c r="K214" s="34"/>
      <c r="L214" s="34"/>
      <c r="M214" s="35"/>
      <c r="N214" s="34"/>
      <c r="O214" s="34"/>
      <c r="P214" s="34"/>
    </row>
    <row r="215" spans="1:16" ht="30" customHeight="1">
      <c r="A215" s="34"/>
      <c r="B215" s="34"/>
      <c r="C215" s="34"/>
      <c r="D215" s="34"/>
      <c r="E215" s="34"/>
      <c r="F215" s="34"/>
      <c r="G215" s="34"/>
      <c r="H215" s="34"/>
      <c r="I215" s="34"/>
      <c r="J215" s="34"/>
      <c r="K215" s="34"/>
      <c r="L215" s="34"/>
      <c r="M215" s="35"/>
      <c r="N215" s="34"/>
      <c r="O215" s="34"/>
      <c r="P215" s="34"/>
    </row>
    <row r="216" spans="1:16" ht="30" customHeight="1">
      <c r="A216" s="34"/>
      <c r="B216" s="34"/>
      <c r="C216" s="34"/>
      <c r="D216" s="34"/>
      <c r="E216" s="34"/>
      <c r="F216" s="34"/>
      <c r="G216" s="34"/>
      <c r="H216" s="34"/>
      <c r="I216" s="34"/>
      <c r="J216" s="34"/>
      <c r="K216" s="34"/>
      <c r="L216" s="34"/>
      <c r="M216" s="35"/>
      <c r="N216" s="34"/>
      <c r="O216" s="34"/>
      <c r="P216" s="34"/>
    </row>
    <row r="217" spans="1:16" ht="30" customHeight="1">
      <c r="A217" s="34"/>
      <c r="B217" s="34"/>
      <c r="C217" s="34"/>
      <c r="D217" s="34"/>
      <c r="E217" s="34"/>
      <c r="F217" s="34"/>
      <c r="G217" s="34"/>
      <c r="H217" s="34"/>
      <c r="I217" s="34"/>
      <c r="J217" s="34"/>
      <c r="K217" s="34"/>
      <c r="L217" s="34"/>
      <c r="M217" s="35"/>
      <c r="N217" s="34"/>
      <c r="O217" s="34"/>
      <c r="P217" s="34"/>
    </row>
    <row r="218" spans="1:16" ht="30" customHeight="1">
      <c r="A218" s="34"/>
      <c r="B218" s="34"/>
      <c r="C218" s="34"/>
      <c r="D218" s="34"/>
      <c r="E218" s="34"/>
      <c r="F218" s="34"/>
      <c r="G218" s="34"/>
      <c r="H218" s="34"/>
      <c r="I218" s="34"/>
      <c r="J218" s="34"/>
      <c r="K218" s="34"/>
      <c r="L218" s="34"/>
      <c r="M218" s="35"/>
      <c r="N218" s="34"/>
      <c r="O218" s="34"/>
      <c r="P218" s="34"/>
    </row>
    <row r="219" spans="1:16" ht="30" customHeight="1">
      <c r="A219" s="34"/>
      <c r="B219" s="34"/>
      <c r="C219" s="34"/>
      <c r="D219" s="34"/>
      <c r="E219" s="34"/>
      <c r="F219" s="34"/>
      <c r="G219" s="34"/>
      <c r="H219" s="34"/>
      <c r="I219" s="34"/>
      <c r="J219" s="34"/>
      <c r="K219" s="34"/>
      <c r="L219" s="34"/>
      <c r="M219" s="35"/>
      <c r="N219" s="34"/>
      <c r="O219" s="34"/>
      <c r="P219" s="34"/>
    </row>
    <row r="220" spans="1:16" ht="30" customHeight="1">
      <c r="A220" s="34"/>
      <c r="B220" s="34"/>
      <c r="C220" s="34"/>
      <c r="D220" s="34"/>
      <c r="E220" s="34"/>
      <c r="F220" s="34"/>
      <c r="G220" s="34"/>
      <c r="H220" s="34"/>
      <c r="I220" s="34"/>
      <c r="J220" s="34"/>
      <c r="K220" s="34"/>
      <c r="L220" s="34"/>
      <c r="M220" s="35"/>
      <c r="N220" s="34"/>
      <c r="O220" s="34"/>
      <c r="P220" s="34"/>
    </row>
    <row r="221" spans="1:16" ht="30" customHeight="1">
      <c r="A221" s="34"/>
      <c r="B221" s="34"/>
      <c r="C221" s="34"/>
      <c r="D221" s="34"/>
      <c r="E221" s="34"/>
      <c r="F221" s="34"/>
      <c r="G221" s="34"/>
      <c r="H221" s="34"/>
      <c r="I221" s="34"/>
      <c r="J221" s="34"/>
      <c r="K221" s="34"/>
      <c r="L221" s="34"/>
      <c r="M221" s="35"/>
      <c r="N221" s="34"/>
      <c r="O221" s="34"/>
      <c r="P221" s="34"/>
    </row>
    <row r="222" spans="1:16" ht="30" customHeight="1">
      <c r="A222" s="34"/>
      <c r="B222" s="34"/>
      <c r="C222" s="34"/>
      <c r="D222" s="34"/>
      <c r="E222" s="34"/>
      <c r="F222" s="34"/>
      <c r="G222" s="34"/>
      <c r="H222" s="34"/>
      <c r="I222" s="34"/>
      <c r="J222" s="34"/>
      <c r="K222" s="34"/>
      <c r="L222" s="34"/>
      <c r="M222" s="35"/>
      <c r="N222" s="34"/>
      <c r="O222" s="34"/>
      <c r="P222" s="34"/>
    </row>
    <row r="223" spans="1:16" ht="30" customHeight="1">
      <c r="A223" s="34"/>
      <c r="B223" s="34"/>
      <c r="C223" s="34"/>
      <c r="D223" s="34"/>
      <c r="E223" s="34"/>
      <c r="F223" s="34"/>
      <c r="G223" s="34"/>
      <c r="H223" s="34"/>
      <c r="I223" s="34"/>
      <c r="J223" s="34"/>
      <c r="K223" s="34"/>
      <c r="L223" s="34"/>
      <c r="M223" s="35"/>
      <c r="N223" s="34"/>
      <c r="O223" s="34"/>
      <c r="P223" s="34"/>
    </row>
    <row r="224" spans="1:16" ht="30" customHeight="1">
      <c r="A224" s="34"/>
      <c r="B224" s="34"/>
      <c r="C224" s="34"/>
      <c r="D224" s="34"/>
      <c r="E224" s="34"/>
      <c r="F224" s="34"/>
      <c r="G224" s="34"/>
      <c r="H224" s="34"/>
      <c r="I224" s="34"/>
      <c r="J224" s="34"/>
      <c r="K224" s="34"/>
      <c r="L224" s="34"/>
      <c r="M224" s="35"/>
      <c r="N224" s="34"/>
      <c r="O224" s="34"/>
      <c r="P224" s="34"/>
    </row>
    <row r="225" spans="1:16" ht="30" customHeight="1">
      <c r="A225" s="34"/>
      <c r="B225" s="34"/>
      <c r="C225" s="34"/>
      <c r="D225" s="34"/>
      <c r="E225" s="34"/>
      <c r="F225" s="34"/>
      <c r="G225" s="34"/>
      <c r="H225" s="34"/>
      <c r="I225" s="34"/>
      <c r="J225" s="34"/>
      <c r="K225" s="34"/>
      <c r="L225" s="34"/>
      <c r="M225" s="35"/>
      <c r="N225" s="34"/>
      <c r="O225" s="34"/>
      <c r="P225" s="34"/>
    </row>
    <row r="226" spans="1:16" ht="30" customHeight="1">
      <c r="A226" s="34"/>
      <c r="B226" s="34"/>
      <c r="C226" s="34"/>
      <c r="D226" s="34"/>
      <c r="E226" s="34"/>
      <c r="F226" s="34"/>
      <c r="G226" s="34"/>
      <c r="H226" s="34"/>
      <c r="I226" s="34"/>
      <c r="J226" s="34"/>
      <c r="K226" s="34"/>
      <c r="L226" s="34"/>
      <c r="M226" s="35"/>
      <c r="N226" s="34"/>
      <c r="O226" s="34"/>
      <c r="P226" s="34"/>
    </row>
    <row r="227" spans="1:16" ht="30" customHeight="1">
      <c r="A227" s="34"/>
      <c r="B227" s="34"/>
      <c r="C227" s="34"/>
      <c r="D227" s="34"/>
      <c r="E227" s="34"/>
      <c r="F227" s="34"/>
      <c r="G227" s="34"/>
      <c r="H227" s="34"/>
      <c r="I227" s="34"/>
      <c r="J227" s="34"/>
      <c r="K227" s="34"/>
      <c r="L227" s="34"/>
      <c r="M227" s="35"/>
      <c r="N227" s="34"/>
      <c r="O227" s="34"/>
      <c r="P227" s="34"/>
    </row>
    <row r="228" spans="1:16" ht="30" customHeight="1">
      <c r="A228" s="34"/>
      <c r="B228" s="34"/>
      <c r="C228" s="34"/>
      <c r="D228" s="34"/>
      <c r="E228" s="34"/>
      <c r="F228" s="34"/>
      <c r="G228" s="34"/>
      <c r="H228" s="34"/>
      <c r="I228" s="34"/>
      <c r="J228" s="34"/>
      <c r="K228" s="34"/>
      <c r="L228" s="34"/>
      <c r="M228" s="35"/>
      <c r="N228" s="34"/>
      <c r="O228" s="34"/>
      <c r="P228" s="34"/>
    </row>
    <row r="229" spans="1:16" ht="30" customHeight="1">
      <c r="A229" s="34"/>
      <c r="B229" s="34"/>
      <c r="C229" s="34"/>
      <c r="D229" s="34"/>
      <c r="E229" s="34"/>
      <c r="F229" s="34"/>
      <c r="G229" s="34"/>
      <c r="H229" s="34"/>
      <c r="I229" s="34"/>
      <c r="J229" s="34"/>
      <c r="K229" s="34"/>
      <c r="L229" s="34"/>
      <c r="M229" s="35"/>
      <c r="N229" s="34"/>
      <c r="O229" s="34"/>
      <c r="P229" s="34"/>
    </row>
    <row r="230" spans="1:16" ht="30" customHeight="1">
      <c r="A230" s="34"/>
      <c r="B230" s="34"/>
      <c r="C230" s="34"/>
      <c r="D230" s="34"/>
      <c r="E230" s="34"/>
      <c r="F230" s="34"/>
      <c r="G230" s="34"/>
      <c r="H230" s="34"/>
      <c r="I230" s="34"/>
      <c r="J230" s="34"/>
      <c r="K230" s="34"/>
      <c r="L230" s="34"/>
      <c r="M230" s="35"/>
      <c r="N230" s="34"/>
      <c r="O230" s="34"/>
      <c r="P230" s="34"/>
    </row>
    <row r="231" spans="1:16" ht="30" customHeight="1">
      <c r="A231" s="34"/>
      <c r="B231" s="34"/>
      <c r="C231" s="34"/>
      <c r="D231" s="34"/>
      <c r="E231" s="34"/>
      <c r="F231" s="34"/>
      <c r="G231" s="34"/>
      <c r="H231" s="34"/>
      <c r="I231" s="34"/>
      <c r="J231" s="34"/>
      <c r="K231" s="34"/>
      <c r="L231" s="34"/>
      <c r="M231" s="35"/>
      <c r="N231" s="34"/>
      <c r="O231" s="34"/>
      <c r="P231" s="34"/>
    </row>
    <row r="232" spans="1:16" ht="30" customHeight="1">
      <c r="A232" s="34"/>
      <c r="B232" s="34"/>
      <c r="C232" s="34"/>
      <c r="D232" s="34"/>
      <c r="E232" s="34"/>
      <c r="F232" s="34"/>
      <c r="G232" s="34"/>
      <c r="H232" s="34"/>
      <c r="I232" s="34"/>
      <c r="J232" s="34"/>
      <c r="K232" s="34"/>
      <c r="L232" s="34"/>
      <c r="M232" s="35"/>
      <c r="N232" s="34"/>
      <c r="O232" s="34"/>
      <c r="P232" s="34"/>
    </row>
    <row r="233" spans="1:16" ht="30" customHeight="1">
      <c r="A233" s="34"/>
      <c r="B233" s="34"/>
      <c r="C233" s="34"/>
      <c r="D233" s="34"/>
      <c r="E233" s="34"/>
      <c r="F233" s="34"/>
      <c r="G233" s="34"/>
      <c r="H233" s="34"/>
      <c r="I233" s="34"/>
      <c r="J233" s="34"/>
      <c r="K233" s="34"/>
      <c r="L233" s="34"/>
      <c r="M233" s="35"/>
      <c r="N233" s="34"/>
      <c r="O233" s="34"/>
      <c r="P233" s="34"/>
    </row>
    <row r="234" spans="1:16" ht="30" customHeight="1">
      <c r="A234" s="34"/>
      <c r="B234" s="34"/>
      <c r="C234" s="34"/>
      <c r="D234" s="34"/>
      <c r="E234" s="34"/>
      <c r="F234" s="34"/>
      <c r="G234" s="34"/>
      <c r="H234" s="34"/>
      <c r="I234" s="34"/>
      <c r="J234" s="34"/>
      <c r="K234" s="34"/>
      <c r="L234" s="34"/>
      <c r="M234" s="35"/>
      <c r="N234" s="34"/>
      <c r="O234" s="34"/>
      <c r="P234" s="34"/>
    </row>
    <row r="235" spans="1:16" ht="30" customHeight="1">
      <c r="A235" s="34"/>
      <c r="B235" s="34"/>
      <c r="C235" s="34"/>
      <c r="D235" s="34"/>
      <c r="E235" s="34"/>
      <c r="F235" s="34"/>
      <c r="G235" s="34"/>
      <c r="H235" s="34"/>
      <c r="I235" s="34"/>
      <c r="J235" s="34"/>
      <c r="K235" s="34"/>
      <c r="L235" s="34"/>
      <c r="M235" s="35"/>
      <c r="N235" s="34"/>
      <c r="O235" s="34"/>
      <c r="P235" s="34"/>
    </row>
    <row r="236" spans="1:16" ht="30" customHeight="1">
      <c r="A236" s="34"/>
      <c r="B236" s="34"/>
      <c r="C236" s="34"/>
      <c r="D236" s="34"/>
      <c r="E236" s="34"/>
      <c r="F236" s="34"/>
      <c r="G236" s="34"/>
      <c r="H236" s="34"/>
      <c r="I236" s="34"/>
      <c r="J236" s="34"/>
      <c r="K236" s="34"/>
      <c r="L236" s="34"/>
      <c r="M236" s="35"/>
      <c r="N236" s="34"/>
      <c r="O236" s="34"/>
      <c r="P236" s="34"/>
    </row>
    <row r="237" spans="1:16" ht="30" customHeight="1">
      <c r="A237" s="34"/>
      <c r="B237" s="34"/>
      <c r="C237" s="34"/>
      <c r="D237" s="34"/>
      <c r="E237" s="34"/>
      <c r="F237" s="34"/>
      <c r="G237" s="34"/>
      <c r="H237" s="34"/>
      <c r="I237" s="34"/>
      <c r="J237" s="34"/>
      <c r="K237" s="34"/>
      <c r="L237" s="34"/>
      <c r="M237" s="35"/>
      <c r="N237" s="34"/>
      <c r="O237" s="34"/>
      <c r="P237" s="34"/>
    </row>
    <row r="238" spans="1:16" ht="30" customHeight="1">
      <c r="A238" s="34"/>
      <c r="B238" s="34"/>
      <c r="C238" s="34"/>
      <c r="D238" s="34"/>
      <c r="E238" s="34"/>
      <c r="F238" s="34"/>
      <c r="G238" s="34"/>
      <c r="H238" s="34"/>
      <c r="I238" s="34"/>
      <c r="J238" s="34"/>
      <c r="K238" s="34"/>
      <c r="L238" s="34"/>
      <c r="M238" s="35"/>
      <c r="N238" s="34"/>
      <c r="O238" s="34"/>
      <c r="P238" s="34"/>
    </row>
    <row r="239" spans="1:16" ht="30" customHeight="1">
      <c r="A239" s="34"/>
      <c r="B239" s="34"/>
      <c r="C239" s="34"/>
      <c r="D239" s="34"/>
      <c r="E239" s="34"/>
      <c r="F239" s="34"/>
      <c r="G239" s="34"/>
      <c r="H239" s="34"/>
      <c r="I239" s="34"/>
      <c r="J239" s="34"/>
      <c r="K239" s="34"/>
      <c r="L239" s="34"/>
      <c r="M239" s="35"/>
      <c r="N239" s="34"/>
      <c r="O239" s="34"/>
      <c r="P239" s="34"/>
    </row>
    <row r="240" spans="1:16" ht="30" customHeight="1">
      <c r="A240" s="34"/>
      <c r="B240" s="34"/>
      <c r="C240" s="34"/>
      <c r="D240" s="34"/>
      <c r="E240" s="34"/>
      <c r="F240" s="34"/>
      <c r="G240" s="34"/>
      <c r="H240" s="34"/>
      <c r="I240" s="34"/>
      <c r="J240" s="34"/>
      <c r="K240" s="34"/>
      <c r="L240" s="34"/>
      <c r="M240" s="35"/>
      <c r="N240" s="34"/>
      <c r="O240" s="34"/>
      <c r="P240" s="34"/>
    </row>
    <row r="241" spans="1:16" ht="30" customHeight="1">
      <c r="A241" s="34"/>
      <c r="B241" s="34"/>
      <c r="C241" s="34"/>
      <c r="D241" s="34"/>
      <c r="E241" s="34"/>
      <c r="F241" s="34"/>
      <c r="G241" s="34"/>
      <c r="H241" s="34"/>
      <c r="I241" s="34"/>
      <c r="J241" s="34"/>
      <c r="K241" s="34"/>
      <c r="L241" s="34"/>
      <c r="M241" s="35"/>
      <c r="N241" s="34"/>
      <c r="O241" s="34"/>
      <c r="P241" s="34"/>
    </row>
    <row r="242" spans="1:16" ht="30" customHeight="1">
      <c r="A242" s="34"/>
      <c r="B242" s="34"/>
      <c r="C242" s="34"/>
      <c r="D242" s="34"/>
      <c r="E242" s="34"/>
      <c r="F242" s="34"/>
      <c r="G242" s="34"/>
      <c r="H242" s="34"/>
      <c r="I242" s="34"/>
      <c r="J242" s="34"/>
      <c r="K242" s="34"/>
      <c r="L242" s="34"/>
      <c r="M242" s="35"/>
      <c r="N242" s="34"/>
      <c r="O242" s="34"/>
      <c r="P242" s="34"/>
    </row>
    <row r="243" spans="1:16" ht="30" customHeight="1">
      <c r="A243" s="34"/>
      <c r="B243" s="34"/>
      <c r="C243" s="34"/>
      <c r="D243" s="34"/>
      <c r="E243" s="34"/>
      <c r="F243" s="34"/>
      <c r="G243" s="34"/>
      <c r="H243" s="34"/>
      <c r="I243" s="34"/>
      <c r="J243" s="34"/>
      <c r="K243" s="34"/>
      <c r="L243" s="34"/>
      <c r="M243" s="35"/>
      <c r="N243" s="34"/>
      <c r="O243" s="34"/>
      <c r="P243" s="34"/>
    </row>
    <row r="244" spans="1:16" ht="30" customHeight="1">
      <c r="A244" s="34"/>
      <c r="B244" s="34"/>
      <c r="C244" s="34"/>
      <c r="D244" s="34"/>
      <c r="E244" s="34"/>
      <c r="F244" s="34"/>
      <c r="G244" s="34"/>
      <c r="H244" s="34"/>
      <c r="I244" s="34"/>
      <c r="J244" s="34"/>
      <c r="K244" s="34"/>
      <c r="L244" s="34"/>
      <c r="M244" s="35"/>
      <c r="N244" s="34"/>
      <c r="O244" s="34"/>
      <c r="P244" s="34"/>
    </row>
    <row r="245" spans="1:16" ht="30" customHeight="1">
      <c r="A245" s="34"/>
      <c r="B245" s="34"/>
      <c r="C245" s="34"/>
      <c r="D245" s="34"/>
      <c r="E245" s="34"/>
      <c r="F245" s="34"/>
      <c r="G245" s="34"/>
      <c r="H245" s="34"/>
      <c r="I245" s="34"/>
      <c r="J245" s="34"/>
      <c r="K245" s="34"/>
      <c r="L245" s="34"/>
      <c r="M245" s="35"/>
      <c r="N245" s="34"/>
      <c r="O245" s="34"/>
      <c r="P245" s="34"/>
    </row>
    <row r="246" spans="1:16" ht="30" customHeight="1">
      <c r="A246" s="34"/>
      <c r="B246" s="34"/>
      <c r="C246" s="34"/>
      <c r="D246" s="34"/>
      <c r="E246" s="34"/>
      <c r="F246" s="34"/>
      <c r="G246" s="34"/>
      <c r="H246" s="34"/>
      <c r="I246" s="34"/>
      <c r="J246" s="34"/>
      <c r="K246" s="34"/>
      <c r="L246" s="34"/>
      <c r="M246" s="35"/>
      <c r="N246" s="34"/>
      <c r="O246" s="34"/>
      <c r="P246" s="34"/>
    </row>
    <row r="247" spans="1:16" ht="30" customHeight="1">
      <c r="A247" s="34"/>
      <c r="B247" s="34"/>
      <c r="C247" s="34"/>
      <c r="D247" s="34"/>
      <c r="E247" s="34"/>
      <c r="F247" s="34"/>
      <c r="G247" s="34"/>
      <c r="H247" s="34"/>
      <c r="I247" s="34"/>
      <c r="J247" s="34"/>
      <c r="K247" s="34"/>
      <c r="L247" s="34"/>
      <c r="M247" s="35"/>
      <c r="N247" s="34"/>
      <c r="O247" s="34"/>
      <c r="P247" s="34"/>
    </row>
    <row r="248" spans="1:16" ht="30" customHeight="1">
      <c r="A248" s="34"/>
      <c r="B248" s="34"/>
      <c r="C248" s="34"/>
      <c r="D248" s="34"/>
      <c r="E248" s="34"/>
      <c r="F248" s="34"/>
      <c r="G248" s="34"/>
      <c r="H248" s="34"/>
      <c r="I248" s="34"/>
      <c r="J248" s="34"/>
      <c r="K248" s="34"/>
      <c r="L248" s="34"/>
      <c r="M248" s="35"/>
      <c r="N248" s="34"/>
      <c r="O248" s="34"/>
      <c r="P248" s="34"/>
    </row>
    <row r="249" spans="1:16" ht="30" customHeight="1">
      <c r="A249" s="34"/>
      <c r="B249" s="34"/>
      <c r="C249" s="34"/>
      <c r="D249" s="34"/>
      <c r="E249" s="34"/>
      <c r="F249" s="34"/>
      <c r="G249" s="34"/>
      <c r="H249" s="34"/>
      <c r="I249" s="34"/>
      <c r="J249" s="34"/>
      <c r="K249" s="34"/>
      <c r="L249" s="34"/>
      <c r="M249" s="35"/>
      <c r="N249" s="34"/>
      <c r="O249" s="34"/>
      <c r="P249" s="34"/>
    </row>
    <row r="250" spans="1:16" ht="30" customHeight="1">
      <c r="A250" s="34"/>
      <c r="B250" s="34"/>
      <c r="C250" s="34"/>
      <c r="D250" s="34"/>
      <c r="E250" s="34"/>
      <c r="F250" s="34"/>
      <c r="G250" s="34"/>
      <c r="H250" s="34"/>
      <c r="I250" s="34"/>
      <c r="J250" s="34"/>
      <c r="K250" s="34"/>
      <c r="L250" s="34"/>
      <c r="M250" s="35"/>
      <c r="N250" s="34"/>
      <c r="O250" s="34"/>
      <c r="P250" s="34"/>
    </row>
    <row r="251" spans="1:16" ht="30" customHeight="1">
      <c r="A251" s="34"/>
      <c r="B251" s="34"/>
      <c r="C251" s="34"/>
      <c r="D251" s="34"/>
      <c r="E251" s="34"/>
      <c r="F251" s="34"/>
      <c r="G251" s="34"/>
      <c r="H251" s="34"/>
      <c r="I251" s="34"/>
      <c r="J251" s="34"/>
      <c r="K251" s="34"/>
      <c r="L251" s="34"/>
      <c r="M251" s="35"/>
      <c r="N251" s="34"/>
      <c r="O251" s="34"/>
      <c r="P251" s="34"/>
    </row>
    <row r="252" spans="1:16" ht="30" customHeight="1">
      <c r="A252" s="34"/>
      <c r="B252" s="34"/>
      <c r="C252" s="34"/>
      <c r="D252" s="34"/>
      <c r="E252" s="34"/>
      <c r="F252" s="34"/>
      <c r="G252" s="34"/>
      <c r="H252" s="34"/>
      <c r="I252" s="34"/>
      <c r="J252" s="34"/>
      <c r="K252" s="34"/>
      <c r="L252" s="34"/>
      <c r="M252" s="35"/>
      <c r="N252" s="34"/>
      <c r="O252" s="34"/>
      <c r="P252" s="34"/>
    </row>
    <row r="253" spans="1:16" ht="30" customHeight="1">
      <c r="A253" s="34"/>
      <c r="B253" s="34"/>
      <c r="C253" s="34"/>
      <c r="D253" s="34"/>
      <c r="E253" s="34"/>
      <c r="F253" s="34"/>
      <c r="G253" s="34"/>
      <c r="H253" s="34"/>
      <c r="I253" s="34"/>
      <c r="J253" s="34"/>
      <c r="K253" s="34"/>
      <c r="L253" s="34"/>
      <c r="M253" s="35"/>
      <c r="N253" s="34"/>
      <c r="O253" s="34"/>
      <c r="P253" s="34"/>
    </row>
    <row r="254" spans="1:16" ht="30" customHeight="1">
      <c r="A254" s="34"/>
      <c r="B254" s="34"/>
      <c r="C254" s="34"/>
      <c r="D254" s="34"/>
      <c r="E254" s="34"/>
      <c r="F254" s="34"/>
      <c r="G254" s="34"/>
      <c r="H254" s="34"/>
      <c r="I254" s="34"/>
      <c r="J254" s="34"/>
      <c r="K254" s="34"/>
      <c r="L254" s="34"/>
      <c r="M254" s="35"/>
      <c r="N254" s="34"/>
      <c r="O254" s="34"/>
      <c r="P254" s="34"/>
    </row>
    <row r="255" spans="1:16" ht="30" customHeight="1">
      <c r="A255" s="34"/>
      <c r="B255" s="34"/>
      <c r="C255" s="34"/>
      <c r="D255" s="34"/>
      <c r="E255" s="34"/>
      <c r="F255" s="34"/>
      <c r="G255" s="34"/>
      <c r="H255" s="34"/>
      <c r="I255" s="34"/>
      <c r="J255" s="34"/>
      <c r="K255" s="34"/>
      <c r="L255" s="34"/>
      <c r="M255" s="35"/>
      <c r="N255" s="34"/>
      <c r="O255" s="34"/>
      <c r="P255" s="34"/>
    </row>
    <row r="256" spans="1:16" ht="30" customHeight="1">
      <c r="A256" s="34"/>
      <c r="B256" s="34"/>
      <c r="C256" s="34"/>
      <c r="D256" s="34"/>
      <c r="E256" s="34"/>
      <c r="F256" s="34"/>
      <c r="G256" s="34"/>
      <c r="H256" s="34"/>
      <c r="I256" s="34"/>
      <c r="J256" s="34"/>
      <c r="K256" s="34"/>
      <c r="L256" s="34"/>
      <c r="M256" s="35"/>
      <c r="N256" s="34"/>
      <c r="O256" s="34"/>
      <c r="P256" s="34"/>
    </row>
    <row r="257" spans="1:16" ht="30" customHeight="1">
      <c r="A257" s="34"/>
      <c r="B257" s="34"/>
      <c r="C257" s="34"/>
      <c r="D257" s="34"/>
      <c r="E257" s="34"/>
      <c r="F257" s="34"/>
      <c r="G257" s="34"/>
      <c r="H257" s="34"/>
      <c r="I257" s="34"/>
      <c r="J257" s="34"/>
      <c r="K257" s="34"/>
      <c r="L257" s="34"/>
      <c r="M257" s="35"/>
      <c r="N257" s="34"/>
      <c r="O257" s="34"/>
      <c r="P257" s="34"/>
    </row>
    <row r="258" spans="1:16" ht="30" customHeight="1">
      <c r="A258" s="34"/>
      <c r="B258" s="34"/>
      <c r="C258" s="34"/>
      <c r="D258" s="34"/>
      <c r="E258" s="34"/>
      <c r="F258" s="34"/>
      <c r="G258" s="34"/>
      <c r="H258" s="34"/>
      <c r="I258" s="34"/>
      <c r="J258" s="34"/>
      <c r="K258" s="34"/>
      <c r="L258" s="34"/>
      <c r="M258" s="35"/>
      <c r="N258" s="34"/>
      <c r="O258" s="34"/>
      <c r="P258" s="34"/>
    </row>
    <row r="259" spans="1:16" ht="30" customHeight="1">
      <c r="A259" s="34"/>
      <c r="B259" s="34"/>
      <c r="C259" s="34"/>
      <c r="D259" s="34"/>
      <c r="E259" s="34"/>
      <c r="F259" s="34"/>
      <c r="G259" s="34"/>
      <c r="H259" s="34"/>
      <c r="I259" s="34"/>
      <c r="J259" s="34"/>
      <c r="K259" s="34"/>
      <c r="L259" s="34"/>
      <c r="M259" s="35"/>
      <c r="N259" s="34"/>
      <c r="O259" s="34"/>
      <c r="P259" s="34"/>
    </row>
    <row r="260" spans="1:16" ht="30" customHeight="1">
      <c r="A260" s="34"/>
      <c r="B260" s="34"/>
      <c r="C260" s="34"/>
      <c r="D260" s="34"/>
      <c r="E260" s="34"/>
      <c r="F260" s="34"/>
      <c r="G260" s="34"/>
      <c r="H260" s="34"/>
      <c r="I260" s="34"/>
      <c r="J260" s="34"/>
      <c r="K260" s="34"/>
      <c r="L260" s="34"/>
      <c r="M260" s="35"/>
      <c r="N260" s="34"/>
      <c r="O260" s="34"/>
      <c r="P260" s="34"/>
    </row>
    <row r="261" spans="1:16" ht="30" customHeight="1">
      <c r="A261" s="34"/>
      <c r="B261" s="34"/>
      <c r="C261" s="34"/>
      <c r="D261" s="34"/>
      <c r="E261" s="34"/>
      <c r="F261" s="34"/>
      <c r="G261" s="34"/>
      <c r="H261" s="34"/>
      <c r="I261" s="34"/>
      <c r="J261" s="34"/>
      <c r="K261" s="34"/>
      <c r="L261" s="34"/>
      <c r="M261" s="35"/>
      <c r="N261" s="34"/>
      <c r="O261" s="34"/>
      <c r="P261" s="34"/>
    </row>
    <row r="262" spans="1:16" ht="30" customHeight="1">
      <c r="A262" s="34"/>
      <c r="B262" s="34"/>
      <c r="C262" s="34"/>
      <c r="D262" s="34"/>
      <c r="E262" s="34"/>
      <c r="F262" s="34"/>
      <c r="G262" s="34"/>
      <c r="H262" s="34"/>
      <c r="I262" s="34"/>
      <c r="J262" s="34"/>
      <c r="K262" s="34"/>
      <c r="L262" s="34"/>
      <c r="M262" s="35"/>
      <c r="N262" s="34"/>
      <c r="O262" s="34"/>
      <c r="P262" s="34"/>
    </row>
    <row r="263" spans="1:16" ht="30" customHeight="1">
      <c r="A263" s="34"/>
      <c r="B263" s="34"/>
      <c r="C263" s="34"/>
      <c r="D263" s="34"/>
      <c r="E263" s="34"/>
      <c r="F263" s="34"/>
      <c r="G263" s="34"/>
      <c r="H263" s="34"/>
      <c r="I263" s="34"/>
      <c r="J263" s="34"/>
      <c r="K263" s="34"/>
      <c r="L263" s="34"/>
      <c r="M263" s="35"/>
      <c r="N263" s="34"/>
      <c r="O263" s="34"/>
      <c r="P263" s="34"/>
    </row>
    <row r="264" spans="1:16" ht="30" customHeight="1">
      <c r="A264" s="34"/>
      <c r="B264" s="34"/>
      <c r="C264" s="34"/>
      <c r="D264" s="34"/>
      <c r="E264" s="34"/>
      <c r="F264" s="34"/>
      <c r="G264" s="34"/>
      <c r="H264" s="34"/>
      <c r="I264" s="34"/>
      <c r="J264" s="34"/>
      <c r="K264" s="34"/>
      <c r="L264" s="34"/>
      <c r="M264" s="35"/>
      <c r="N264" s="34"/>
      <c r="O264" s="34"/>
      <c r="P264" s="34"/>
    </row>
    <row r="265" spans="1:16" ht="30" customHeight="1">
      <c r="A265" s="34"/>
      <c r="B265" s="34"/>
      <c r="C265" s="34"/>
      <c r="D265" s="34"/>
      <c r="E265" s="34"/>
      <c r="F265" s="34"/>
      <c r="G265" s="34"/>
      <c r="H265" s="34"/>
      <c r="I265" s="34"/>
      <c r="J265" s="34"/>
      <c r="K265" s="34"/>
      <c r="L265" s="34"/>
      <c r="M265" s="35"/>
      <c r="N265" s="34"/>
      <c r="O265" s="34"/>
      <c r="P265" s="34"/>
    </row>
    <row r="266" spans="1:16" ht="30" customHeight="1">
      <c r="A266" s="34"/>
      <c r="B266" s="34"/>
      <c r="C266" s="34"/>
      <c r="D266" s="34"/>
      <c r="E266" s="34"/>
      <c r="F266" s="34"/>
      <c r="G266" s="34"/>
      <c r="H266" s="34"/>
      <c r="I266" s="34"/>
      <c r="J266" s="34"/>
      <c r="K266" s="34"/>
      <c r="L266" s="34"/>
      <c r="M266" s="35"/>
      <c r="N266" s="34"/>
      <c r="O266" s="34"/>
      <c r="P266" s="34"/>
    </row>
    <row r="267" spans="1:16" ht="30" customHeight="1">
      <c r="A267" s="34"/>
      <c r="B267" s="34"/>
      <c r="C267" s="34"/>
      <c r="D267" s="34"/>
      <c r="E267" s="34"/>
      <c r="F267" s="34"/>
      <c r="G267" s="34"/>
      <c r="H267" s="34"/>
      <c r="I267" s="34"/>
      <c r="J267" s="34"/>
      <c r="K267" s="34"/>
      <c r="L267" s="34"/>
      <c r="M267" s="35"/>
      <c r="N267" s="34"/>
      <c r="O267" s="34"/>
      <c r="P267" s="34"/>
    </row>
    <row r="268" spans="1:16" ht="30" customHeight="1">
      <c r="A268" s="34"/>
      <c r="B268" s="34"/>
      <c r="C268" s="34"/>
      <c r="D268" s="34"/>
      <c r="E268" s="34"/>
      <c r="F268" s="34"/>
      <c r="G268" s="34"/>
      <c r="H268" s="34"/>
      <c r="I268" s="34"/>
      <c r="J268" s="34"/>
      <c r="K268" s="34"/>
      <c r="L268" s="34"/>
      <c r="M268" s="35"/>
      <c r="N268" s="34"/>
      <c r="O268" s="34"/>
      <c r="P268" s="34"/>
    </row>
    <row r="269" spans="1:16" ht="30" customHeight="1">
      <c r="A269" s="34"/>
      <c r="B269" s="34"/>
      <c r="C269" s="34"/>
      <c r="D269" s="34"/>
      <c r="E269" s="34"/>
      <c r="F269" s="34"/>
      <c r="G269" s="34"/>
      <c r="H269" s="34"/>
      <c r="I269" s="34"/>
      <c r="J269" s="34"/>
      <c r="K269" s="34"/>
      <c r="L269" s="34"/>
      <c r="M269" s="35"/>
      <c r="N269" s="34"/>
      <c r="O269" s="34"/>
      <c r="P269" s="34"/>
    </row>
    <row r="270" spans="1:16" ht="30" customHeight="1">
      <c r="A270" s="34"/>
      <c r="B270" s="34"/>
      <c r="C270" s="34"/>
      <c r="D270" s="34"/>
      <c r="E270" s="34"/>
      <c r="F270" s="34"/>
      <c r="G270" s="34"/>
      <c r="H270" s="34"/>
      <c r="I270" s="34"/>
      <c r="J270" s="34"/>
      <c r="K270" s="34"/>
      <c r="L270" s="34"/>
      <c r="M270" s="35"/>
      <c r="N270" s="34"/>
      <c r="O270" s="34"/>
      <c r="P270" s="34"/>
    </row>
    <row r="271" spans="1:16" ht="30" customHeight="1">
      <c r="A271" s="34"/>
      <c r="B271" s="34"/>
      <c r="C271" s="34"/>
      <c r="D271" s="34"/>
      <c r="E271" s="34"/>
      <c r="F271" s="34"/>
      <c r="G271" s="34"/>
      <c r="H271" s="34"/>
      <c r="I271" s="34"/>
      <c r="J271" s="34"/>
      <c r="K271" s="34"/>
      <c r="L271" s="34"/>
      <c r="M271" s="35"/>
      <c r="N271" s="34"/>
      <c r="O271" s="34"/>
      <c r="P271" s="34"/>
    </row>
    <row r="272" spans="1:16" ht="30" customHeight="1">
      <c r="A272" s="34"/>
      <c r="B272" s="34"/>
      <c r="C272" s="34"/>
      <c r="D272" s="34"/>
      <c r="E272" s="34"/>
      <c r="F272" s="34"/>
      <c r="G272" s="34"/>
      <c r="H272" s="34"/>
      <c r="I272" s="34"/>
      <c r="J272" s="34"/>
      <c r="K272" s="34"/>
      <c r="L272" s="34"/>
      <c r="M272" s="35"/>
      <c r="N272" s="34"/>
      <c r="O272" s="34"/>
      <c r="P272" s="34"/>
    </row>
    <row r="273" spans="1:16" ht="30" customHeight="1">
      <c r="A273" s="34"/>
      <c r="B273" s="34"/>
      <c r="C273" s="34"/>
      <c r="D273" s="34"/>
      <c r="E273" s="34"/>
      <c r="F273" s="34"/>
      <c r="G273" s="34"/>
      <c r="H273" s="34"/>
      <c r="I273" s="34"/>
      <c r="J273" s="34"/>
      <c r="K273" s="34"/>
      <c r="L273" s="34"/>
      <c r="M273" s="35"/>
      <c r="N273" s="34"/>
      <c r="O273" s="34"/>
      <c r="P273" s="34"/>
    </row>
    <row r="274" spans="1:16" ht="30" customHeight="1">
      <c r="A274" s="34"/>
      <c r="B274" s="34"/>
      <c r="C274" s="34"/>
      <c r="D274" s="34"/>
      <c r="E274" s="34"/>
      <c r="F274" s="34"/>
      <c r="G274" s="34"/>
      <c r="H274" s="34"/>
      <c r="I274" s="34"/>
      <c r="J274" s="34"/>
      <c r="K274" s="34"/>
      <c r="L274" s="34"/>
      <c r="M274" s="35"/>
      <c r="N274" s="34"/>
      <c r="O274" s="34"/>
      <c r="P274" s="34"/>
    </row>
    <row r="275" spans="1:16" ht="30" customHeight="1">
      <c r="A275" s="34"/>
      <c r="B275" s="34"/>
      <c r="C275" s="34"/>
      <c r="D275" s="34"/>
      <c r="E275" s="34"/>
      <c r="F275" s="34"/>
      <c r="G275" s="34"/>
      <c r="H275" s="34"/>
      <c r="I275" s="34"/>
      <c r="J275" s="34"/>
      <c r="K275" s="34"/>
      <c r="L275" s="34"/>
      <c r="M275" s="35"/>
      <c r="N275" s="34"/>
      <c r="O275" s="34"/>
      <c r="P275" s="34"/>
    </row>
    <row r="276" spans="1:16" ht="30" customHeight="1">
      <c r="A276" s="34"/>
      <c r="B276" s="34"/>
      <c r="C276" s="34"/>
      <c r="D276" s="34"/>
      <c r="E276" s="34"/>
      <c r="F276" s="34"/>
      <c r="G276" s="34"/>
      <c r="H276" s="34"/>
      <c r="I276" s="34"/>
      <c r="J276" s="34"/>
      <c r="K276" s="34"/>
      <c r="L276" s="34"/>
      <c r="M276" s="35"/>
      <c r="N276" s="34"/>
      <c r="O276" s="34"/>
      <c r="P276" s="34"/>
    </row>
    <row r="277" spans="1:16" ht="30" customHeight="1">
      <c r="A277" s="34"/>
      <c r="B277" s="34"/>
      <c r="C277" s="34"/>
      <c r="D277" s="34"/>
      <c r="E277" s="34"/>
      <c r="F277" s="34"/>
      <c r="G277" s="34"/>
      <c r="H277" s="34"/>
      <c r="I277" s="34"/>
      <c r="J277" s="34"/>
      <c r="K277" s="34"/>
      <c r="L277" s="34"/>
      <c r="M277" s="35"/>
      <c r="N277" s="34"/>
      <c r="O277" s="34"/>
      <c r="P277" s="34"/>
    </row>
    <row r="278" spans="1:16" ht="30" customHeight="1">
      <c r="A278" s="34"/>
      <c r="B278" s="34"/>
      <c r="C278" s="34"/>
      <c r="D278" s="34"/>
      <c r="E278" s="34"/>
      <c r="F278" s="34"/>
      <c r="G278" s="34"/>
      <c r="H278" s="34"/>
      <c r="I278" s="34"/>
      <c r="J278" s="34"/>
      <c r="K278" s="34"/>
      <c r="L278" s="34"/>
      <c r="M278" s="35"/>
      <c r="N278" s="34"/>
      <c r="O278" s="34"/>
      <c r="P278" s="34"/>
    </row>
    <row r="279" spans="1:16" ht="30" customHeight="1">
      <c r="A279" s="34"/>
      <c r="B279" s="34"/>
      <c r="C279" s="34"/>
      <c r="D279" s="34"/>
      <c r="E279" s="34"/>
      <c r="F279" s="34"/>
      <c r="G279" s="34"/>
      <c r="H279" s="34"/>
      <c r="I279" s="34"/>
      <c r="J279" s="34"/>
      <c r="K279" s="34"/>
      <c r="L279" s="34"/>
      <c r="M279" s="35"/>
      <c r="N279" s="34"/>
      <c r="O279" s="34"/>
      <c r="P279" s="34"/>
    </row>
    <row r="280" spans="1:16" ht="30" customHeight="1">
      <c r="A280" s="34"/>
      <c r="B280" s="34"/>
      <c r="C280" s="34"/>
      <c r="D280" s="34"/>
      <c r="E280" s="34"/>
      <c r="F280" s="34"/>
      <c r="G280" s="34"/>
      <c r="H280" s="34"/>
      <c r="I280" s="34"/>
      <c r="J280" s="34"/>
      <c r="K280" s="34"/>
      <c r="L280" s="34"/>
      <c r="M280" s="35"/>
      <c r="N280" s="34"/>
      <c r="O280" s="34"/>
      <c r="P280" s="34"/>
    </row>
    <row r="281" spans="1:16" ht="30" customHeight="1">
      <c r="A281" s="34"/>
      <c r="B281" s="34"/>
      <c r="C281" s="34"/>
      <c r="D281" s="34"/>
      <c r="E281" s="34"/>
      <c r="F281" s="34"/>
      <c r="G281" s="34"/>
      <c r="H281" s="34"/>
      <c r="I281" s="34"/>
      <c r="J281" s="34"/>
      <c r="K281" s="34"/>
      <c r="L281" s="34"/>
      <c r="M281" s="35"/>
      <c r="N281" s="34"/>
      <c r="O281" s="34"/>
      <c r="P281" s="34"/>
    </row>
    <row r="282" spans="1:16" ht="30" customHeight="1">
      <c r="A282" s="34"/>
      <c r="B282" s="34"/>
      <c r="C282" s="34"/>
      <c r="D282" s="34"/>
      <c r="E282" s="34"/>
      <c r="F282" s="34"/>
      <c r="G282" s="34"/>
      <c r="H282" s="34"/>
      <c r="I282" s="34"/>
      <c r="J282" s="34"/>
      <c r="K282" s="34"/>
      <c r="L282" s="34"/>
      <c r="M282" s="35"/>
      <c r="N282" s="34"/>
      <c r="O282" s="34"/>
      <c r="P282" s="34"/>
    </row>
    <row r="283" spans="1:16" ht="30" customHeight="1">
      <c r="A283" s="34"/>
      <c r="B283" s="34"/>
      <c r="C283" s="34"/>
      <c r="D283" s="34"/>
      <c r="E283" s="34"/>
      <c r="F283" s="34"/>
      <c r="G283" s="34"/>
      <c r="H283" s="34"/>
      <c r="I283" s="34"/>
      <c r="J283" s="34"/>
      <c r="K283" s="34"/>
      <c r="L283" s="34"/>
      <c r="M283" s="35"/>
      <c r="N283" s="34"/>
      <c r="O283" s="34"/>
      <c r="P283" s="34"/>
    </row>
    <row r="284" spans="1:16" ht="30" customHeight="1">
      <c r="A284" s="34"/>
      <c r="B284" s="34"/>
      <c r="C284" s="34"/>
      <c r="D284" s="34"/>
      <c r="E284" s="34"/>
      <c r="F284" s="34"/>
      <c r="G284" s="34"/>
      <c r="H284" s="34"/>
      <c r="I284" s="34"/>
      <c r="J284" s="34"/>
      <c r="K284" s="34"/>
      <c r="L284" s="34"/>
      <c r="M284" s="35"/>
      <c r="N284" s="34"/>
      <c r="O284" s="34"/>
      <c r="P284" s="34"/>
    </row>
    <row r="285" spans="1:16" ht="30" customHeight="1">
      <c r="A285" s="34"/>
      <c r="B285" s="34"/>
      <c r="C285" s="34"/>
      <c r="D285" s="34"/>
      <c r="E285" s="34"/>
      <c r="F285" s="34"/>
      <c r="G285" s="34"/>
      <c r="H285" s="34"/>
      <c r="I285" s="34"/>
      <c r="J285" s="34"/>
      <c r="K285" s="34"/>
      <c r="L285" s="34"/>
      <c r="M285" s="35"/>
      <c r="N285" s="34"/>
      <c r="O285" s="34"/>
      <c r="P285" s="34"/>
    </row>
    <row r="286" spans="1:16" ht="30" customHeight="1">
      <c r="A286" s="34"/>
      <c r="B286" s="34"/>
      <c r="C286" s="34"/>
      <c r="D286" s="34"/>
      <c r="E286" s="34"/>
      <c r="F286" s="34"/>
      <c r="G286" s="34"/>
      <c r="H286" s="34"/>
      <c r="I286" s="34"/>
      <c r="J286" s="34"/>
      <c r="K286" s="34"/>
      <c r="L286" s="34"/>
      <c r="M286" s="35"/>
      <c r="N286" s="34"/>
      <c r="O286" s="34"/>
      <c r="P286" s="34"/>
    </row>
    <row r="287" spans="1:16" ht="30" customHeight="1">
      <c r="A287" s="34"/>
      <c r="B287" s="34"/>
      <c r="C287" s="34"/>
      <c r="D287" s="34"/>
      <c r="E287" s="34"/>
      <c r="F287" s="34"/>
      <c r="G287" s="34"/>
      <c r="H287" s="34"/>
      <c r="I287" s="34"/>
      <c r="J287" s="34"/>
      <c r="K287" s="34"/>
      <c r="L287" s="34"/>
      <c r="M287" s="35"/>
      <c r="N287" s="34"/>
      <c r="O287" s="34"/>
      <c r="P287" s="34"/>
    </row>
    <row r="288" spans="1:16" ht="30" customHeight="1">
      <c r="A288" s="34"/>
      <c r="B288" s="34"/>
      <c r="C288" s="34"/>
      <c r="D288" s="34"/>
      <c r="E288" s="34"/>
      <c r="F288" s="34"/>
      <c r="G288" s="34"/>
      <c r="H288" s="34"/>
      <c r="I288" s="34"/>
      <c r="J288" s="34"/>
      <c r="K288" s="34"/>
      <c r="L288" s="34"/>
      <c r="M288" s="35"/>
      <c r="N288" s="34"/>
      <c r="O288" s="34"/>
      <c r="P288" s="34"/>
    </row>
    <row r="289" spans="1:16" ht="30" customHeight="1">
      <c r="A289" s="34"/>
      <c r="B289" s="34"/>
      <c r="C289" s="34"/>
      <c r="D289" s="34"/>
      <c r="E289" s="34"/>
      <c r="F289" s="34"/>
      <c r="G289" s="34"/>
      <c r="H289" s="34"/>
      <c r="I289" s="34"/>
      <c r="J289" s="34"/>
      <c r="K289" s="34"/>
      <c r="L289" s="34"/>
      <c r="M289" s="35"/>
      <c r="N289" s="34"/>
      <c r="O289" s="34"/>
      <c r="P289" s="34"/>
    </row>
    <row r="290" spans="1:16" ht="30" customHeight="1">
      <c r="A290" s="34"/>
      <c r="B290" s="34"/>
      <c r="C290" s="34"/>
      <c r="D290" s="34"/>
      <c r="E290" s="34"/>
      <c r="F290" s="34"/>
      <c r="G290" s="34"/>
      <c r="H290" s="34"/>
      <c r="I290" s="34"/>
      <c r="J290" s="34"/>
      <c r="K290" s="34"/>
      <c r="L290" s="34"/>
      <c r="M290" s="35"/>
      <c r="N290" s="34"/>
      <c r="O290" s="34"/>
      <c r="P290" s="34"/>
    </row>
    <row r="291" spans="1:16" ht="30" customHeight="1">
      <c r="A291" s="34"/>
      <c r="B291" s="34"/>
      <c r="C291" s="34"/>
      <c r="D291" s="34"/>
      <c r="E291" s="34"/>
      <c r="F291" s="34"/>
      <c r="G291" s="34"/>
      <c r="H291" s="34"/>
      <c r="I291" s="34"/>
      <c r="J291" s="34"/>
      <c r="K291" s="34"/>
      <c r="L291" s="34"/>
      <c r="M291" s="35"/>
      <c r="N291" s="34"/>
      <c r="O291" s="34"/>
      <c r="P291" s="34"/>
    </row>
    <row r="292" spans="1:16" ht="30" customHeight="1">
      <c r="A292" s="34"/>
      <c r="B292" s="34"/>
      <c r="C292" s="34"/>
      <c r="D292" s="34"/>
      <c r="E292" s="34"/>
      <c r="F292" s="34"/>
      <c r="G292" s="34"/>
      <c r="H292" s="34"/>
      <c r="I292" s="34"/>
      <c r="J292" s="34"/>
      <c r="K292" s="34"/>
      <c r="L292" s="34"/>
      <c r="M292" s="35"/>
      <c r="N292" s="34"/>
      <c r="O292" s="34"/>
      <c r="P292" s="34"/>
    </row>
    <row r="293" spans="1:16" ht="30" customHeight="1">
      <c r="A293" s="34"/>
      <c r="B293" s="34"/>
      <c r="C293" s="34"/>
      <c r="D293" s="34"/>
      <c r="E293" s="34"/>
      <c r="F293" s="34"/>
      <c r="G293" s="34"/>
      <c r="H293" s="34"/>
      <c r="I293" s="34"/>
      <c r="J293" s="34"/>
      <c r="K293" s="34"/>
      <c r="L293" s="34"/>
      <c r="M293" s="35"/>
      <c r="N293" s="34"/>
      <c r="O293" s="34"/>
      <c r="P293" s="34"/>
    </row>
    <row r="294" spans="1:16" ht="30" customHeight="1">
      <c r="A294" s="34"/>
      <c r="B294" s="34"/>
      <c r="C294" s="34"/>
      <c r="D294" s="34"/>
      <c r="E294" s="34"/>
      <c r="F294" s="34"/>
      <c r="G294" s="34"/>
      <c r="H294" s="34"/>
      <c r="I294" s="34"/>
      <c r="J294" s="34"/>
      <c r="K294" s="34"/>
      <c r="L294" s="34"/>
      <c r="M294" s="35"/>
      <c r="N294" s="34"/>
      <c r="O294" s="34"/>
      <c r="P294" s="34"/>
    </row>
    <row r="295" spans="1:16" ht="30" customHeight="1">
      <c r="A295" s="34"/>
      <c r="B295" s="34"/>
      <c r="C295" s="34"/>
      <c r="D295" s="34"/>
      <c r="E295" s="34"/>
      <c r="F295" s="34"/>
      <c r="G295" s="34"/>
      <c r="H295" s="34"/>
      <c r="I295" s="34"/>
      <c r="J295" s="34"/>
      <c r="K295" s="34"/>
      <c r="L295" s="34"/>
      <c r="M295" s="35"/>
      <c r="N295" s="34"/>
      <c r="O295" s="34"/>
      <c r="P295" s="34"/>
    </row>
    <row r="296" spans="1:16" ht="30" customHeight="1">
      <c r="A296" s="34"/>
      <c r="B296" s="34"/>
      <c r="C296" s="34"/>
      <c r="D296" s="34"/>
      <c r="E296" s="34"/>
      <c r="F296" s="34"/>
      <c r="G296" s="34"/>
      <c r="H296" s="34"/>
      <c r="I296" s="34"/>
      <c r="J296" s="34"/>
      <c r="K296" s="34"/>
      <c r="L296" s="34"/>
      <c r="M296" s="35"/>
      <c r="N296" s="34"/>
      <c r="O296" s="34"/>
      <c r="P296" s="34"/>
    </row>
    <row r="297" spans="1:16" ht="30" customHeight="1">
      <c r="A297" s="34"/>
      <c r="B297" s="34"/>
      <c r="C297" s="34"/>
      <c r="D297" s="34"/>
      <c r="E297" s="34"/>
      <c r="F297" s="34"/>
      <c r="G297" s="34"/>
      <c r="H297" s="34"/>
      <c r="I297" s="34"/>
      <c r="J297" s="34"/>
      <c r="K297" s="34"/>
      <c r="L297" s="34"/>
      <c r="M297" s="35"/>
      <c r="N297" s="34"/>
      <c r="O297" s="34"/>
      <c r="P297" s="34"/>
    </row>
    <row r="298" spans="1:16" ht="30" customHeight="1">
      <c r="A298" s="34"/>
      <c r="B298" s="34"/>
      <c r="C298" s="34"/>
      <c r="D298" s="34"/>
      <c r="E298" s="34"/>
      <c r="F298" s="34"/>
      <c r="G298" s="34"/>
      <c r="H298" s="34"/>
      <c r="I298" s="34"/>
      <c r="J298" s="34"/>
      <c r="K298" s="34"/>
      <c r="L298" s="34"/>
      <c r="M298" s="35"/>
      <c r="N298" s="34"/>
      <c r="O298" s="34"/>
      <c r="P298" s="34"/>
    </row>
    <row r="299" spans="1:16" ht="30" customHeight="1">
      <c r="A299" s="34"/>
      <c r="B299" s="34"/>
      <c r="C299" s="34"/>
      <c r="D299" s="34"/>
      <c r="E299" s="34"/>
      <c r="F299" s="34"/>
      <c r="G299" s="34"/>
      <c r="H299" s="34"/>
      <c r="I299" s="34"/>
      <c r="J299" s="34"/>
      <c r="K299" s="34"/>
      <c r="L299" s="34"/>
      <c r="M299" s="35"/>
      <c r="N299" s="34"/>
      <c r="O299" s="34"/>
      <c r="P299" s="34"/>
    </row>
    <row r="300" spans="1:16" ht="30" customHeight="1">
      <c r="A300" s="34"/>
      <c r="B300" s="34"/>
      <c r="C300" s="34"/>
      <c r="D300" s="34"/>
      <c r="E300" s="34"/>
      <c r="F300" s="34"/>
      <c r="G300" s="34"/>
      <c r="H300" s="34"/>
      <c r="I300" s="34"/>
      <c r="J300" s="34"/>
      <c r="K300" s="34"/>
      <c r="L300" s="34"/>
      <c r="M300" s="35"/>
      <c r="N300" s="34"/>
      <c r="O300" s="34"/>
      <c r="P300" s="34"/>
    </row>
  </sheetData>
  <autoFilter ref="A3:P300" xr:uid="{00000000-0009-0000-0000-000008000000}"/>
  <mergeCells count="2">
    <mergeCell ref="A1:P1"/>
    <mergeCell ref="A2:P2"/>
  </mergeCells>
  <conditionalFormatting sqref="I65:I300">
    <cfRule type="cellIs" dxfId="20" priority="2" operator="equal">
      <formula>"Pass"</formula>
    </cfRule>
    <cfRule type="cellIs" dxfId="19" priority="3" operator="equal">
      <formula>"Fail"</formula>
    </cfRule>
    <cfRule type="cellIs" dxfId="18" priority="4" operator="equal">
      <formula>"Blocked"</formula>
    </cfRule>
    <cfRule type="cellIs" dxfId="17" priority="5" operator="equal">
      <formula>"In Progress"</formula>
    </cfRule>
    <cfRule type="cellIs" dxfId="16" priority="6" operator="equal">
      <formula>"Not Executed"</formula>
    </cfRule>
    <cfRule type="cellIs" dxfId="15" priority="7" operator="equal">
      <formula>"Retest"</formula>
    </cfRule>
  </conditionalFormatting>
  <conditionalFormatting sqref="J65:J300">
    <cfRule type="cellIs" dxfId="14" priority="8" operator="equal">
      <formula>"Critical"</formula>
    </cfRule>
  </conditionalFormatting>
  <dataValidations count="5">
    <dataValidation type="list" allowBlank="1" errorTitle="Invalid Status" error="Please choose a status from the dropdown list." sqref="I65:I300" xr:uid="{00000000-0002-0000-0800-000000000000}">
      <formula1>List_Status</formula1>
      <formula2>0</formula2>
    </dataValidation>
    <dataValidation type="list" allowBlank="1" sqref="J65:J300" xr:uid="{00000000-0002-0000-0800-000001000000}">
      <formula1>List_Severity</formula1>
      <formula2>0</formula2>
    </dataValidation>
    <dataValidation type="list" allowBlank="1" sqref="K65:K300" xr:uid="{00000000-0002-0000-0800-000002000000}">
      <formula1>List_Priority</formula1>
      <formula2>0</formula2>
    </dataValidation>
    <dataValidation type="list" allowBlank="1" sqref="L65:L300" xr:uid="{00000000-0002-0000-0800-000003000000}">
      <formula1>List_Testers</formula1>
      <formula2>0</formula2>
    </dataValidation>
    <dataValidation type="list" allowBlank="1" sqref="N65:N300" xr:uid="{00000000-0002-0000-0800-000004000000}">
      <formula1>List_Environment</formula1>
      <formula2>0</formula2>
    </dataValidation>
  </dataValidations>
  <hyperlinks>
    <hyperlink ref="A2" r:id="rId1" location="'Main%20Dashboard'!A1" xr:uid="{00000000-0004-0000-0800-000000000000}"/>
  </hyperlinks>
  <pageMargins left="0.75" right="0.75" top="1" bottom="1" header="0.511811023622047" footer="0.511811023622047"/>
  <pageSetup paperSize="9" orientation="portrait" horizontalDpi="300" verticalDpi="300"/>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F8160-9C67-49AC-9415-F39445735418}">
  <dimension ref="A1:O19"/>
  <sheetViews>
    <sheetView topLeftCell="L1" workbookViewId="0">
      <selection activeCell="D11" sqref="A1:O19"/>
    </sheetView>
  </sheetViews>
  <sheetFormatPr defaultRowHeight="15"/>
  <cols>
    <col min="1" max="1" width="8.5703125" style="77" bestFit="1" customWidth="1"/>
    <col min="2" max="2" width="27.42578125" style="77" bestFit="1" customWidth="1"/>
    <col min="3" max="3" width="70.28515625" style="77" bestFit="1" customWidth="1"/>
    <col min="4" max="4" width="103.7109375" style="77" bestFit="1" customWidth="1"/>
    <col min="5" max="5" width="67.28515625" style="77" bestFit="1" customWidth="1"/>
    <col min="6" max="6" width="59.42578125" style="77" bestFit="1" customWidth="1"/>
    <col min="7" max="7" width="91.140625" style="77" bestFit="1" customWidth="1"/>
    <col min="8" max="8" width="169.42578125" style="77" bestFit="1" customWidth="1"/>
    <col min="9" max="9" width="7.42578125" style="77" bestFit="1" customWidth="1"/>
    <col min="10" max="10" width="9.28515625" style="77" bestFit="1" customWidth="1"/>
    <col min="11" max="11" width="13.42578125" style="77" bestFit="1" customWidth="1"/>
    <col min="12" max="12" width="14.7109375" style="77" bestFit="1" customWidth="1"/>
    <col min="13" max="13" width="13.140625" style="77" bestFit="1" customWidth="1"/>
    <col min="14" max="14" width="14" style="77" bestFit="1" customWidth="1"/>
    <col min="15" max="15" width="102.140625" style="77" bestFit="1" customWidth="1"/>
    <col min="16" max="16384" width="9.140625" style="77"/>
  </cols>
  <sheetData>
    <row r="1" spans="1:15">
      <c r="A1" s="81" t="s">
        <v>1637</v>
      </c>
      <c r="B1" s="79" t="s">
        <v>53</v>
      </c>
      <c r="C1" s="79" t="s">
        <v>56</v>
      </c>
      <c r="D1" s="79" t="s">
        <v>59</v>
      </c>
      <c r="E1" s="79" t="s">
        <v>62</v>
      </c>
      <c r="F1" s="79" t="s">
        <v>65</v>
      </c>
      <c r="G1" s="79" t="s">
        <v>68</v>
      </c>
      <c r="H1" s="79" t="s">
        <v>71</v>
      </c>
      <c r="I1" s="79" t="s">
        <v>74</v>
      </c>
      <c r="J1" s="79" t="s">
        <v>77</v>
      </c>
      <c r="K1" s="79" t="s">
        <v>80</v>
      </c>
      <c r="L1" s="79" t="s">
        <v>83</v>
      </c>
      <c r="M1" s="79" t="s">
        <v>86</v>
      </c>
      <c r="N1" s="79" t="s">
        <v>89</v>
      </c>
      <c r="O1" s="82"/>
    </row>
    <row r="2" spans="1:15">
      <c r="A2" s="83" t="s">
        <v>1638</v>
      </c>
      <c r="B2" s="80" t="s">
        <v>1639</v>
      </c>
      <c r="C2" s="80" t="s">
        <v>1640</v>
      </c>
      <c r="D2" s="80" t="s">
        <v>1641</v>
      </c>
      <c r="E2" s="80" t="s">
        <v>1642</v>
      </c>
      <c r="F2" s="80" t="s">
        <v>1643</v>
      </c>
      <c r="G2" s="80" t="s">
        <v>1644</v>
      </c>
      <c r="H2" s="80" t="s">
        <v>1645</v>
      </c>
      <c r="I2" s="80" t="s">
        <v>102</v>
      </c>
      <c r="J2" s="80" t="s">
        <v>115</v>
      </c>
      <c r="K2" s="80" t="s">
        <v>145</v>
      </c>
      <c r="L2" s="80" t="s">
        <v>1646</v>
      </c>
      <c r="M2" s="84">
        <v>46256</v>
      </c>
      <c r="N2" s="80" t="s">
        <v>1647</v>
      </c>
      <c r="O2" s="85"/>
    </row>
    <row r="3" spans="1:15">
      <c r="A3" s="86" t="s">
        <v>1648</v>
      </c>
      <c r="B3" s="78" t="s">
        <v>1639</v>
      </c>
      <c r="C3" s="78" t="s">
        <v>1649</v>
      </c>
      <c r="D3" s="78" t="s">
        <v>1650</v>
      </c>
      <c r="E3" s="78" t="s">
        <v>1651</v>
      </c>
      <c r="F3" s="78" t="s">
        <v>1652</v>
      </c>
      <c r="G3" s="78" t="s">
        <v>1653</v>
      </c>
      <c r="H3" s="78" t="s">
        <v>1654</v>
      </c>
      <c r="I3" s="78" t="s">
        <v>102</v>
      </c>
      <c r="J3" s="78" t="s">
        <v>113</v>
      </c>
      <c r="K3" s="78" t="s">
        <v>129</v>
      </c>
      <c r="L3" s="78" t="s">
        <v>1646</v>
      </c>
      <c r="M3" s="87">
        <v>46259</v>
      </c>
      <c r="N3" s="78" t="s">
        <v>1647</v>
      </c>
      <c r="O3" s="88"/>
    </row>
    <row r="4" spans="1:15">
      <c r="A4" s="86" t="s">
        <v>1655</v>
      </c>
      <c r="B4" s="78" t="s">
        <v>1639</v>
      </c>
      <c r="C4" s="78" t="s">
        <v>1656</v>
      </c>
      <c r="D4" s="78" t="s">
        <v>1657</v>
      </c>
      <c r="E4" s="78" t="s">
        <v>1658</v>
      </c>
      <c r="F4" s="78" t="s">
        <v>1659</v>
      </c>
      <c r="G4" s="78" t="s">
        <v>1660</v>
      </c>
      <c r="H4" s="78" t="s">
        <v>1661</v>
      </c>
      <c r="I4" s="78" t="s">
        <v>102</v>
      </c>
      <c r="J4" s="78" t="s">
        <v>115</v>
      </c>
      <c r="K4" s="78" t="s">
        <v>145</v>
      </c>
      <c r="L4" s="78" t="s">
        <v>1646</v>
      </c>
      <c r="M4" s="87">
        <v>46256</v>
      </c>
      <c r="N4" s="78" t="s">
        <v>1647</v>
      </c>
      <c r="O4" s="88"/>
    </row>
    <row r="5" spans="1:15">
      <c r="A5" s="86" t="s">
        <v>1662</v>
      </c>
      <c r="B5" s="78" t="s">
        <v>1639</v>
      </c>
      <c r="C5" s="78" t="s">
        <v>1663</v>
      </c>
      <c r="D5" s="78" t="s">
        <v>1664</v>
      </c>
      <c r="E5" s="78" t="s">
        <v>1658</v>
      </c>
      <c r="F5" s="78" t="s">
        <v>1665</v>
      </c>
      <c r="G5" s="78" t="s">
        <v>1666</v>
      </c>
      <c r="H5" s="78" t="s">
        <v>1667</v>
      </c>
      <c r="I5" s="78" t="s">
        <v>102</v>
      </c>
      <c r="J5" s="78" t="s">
        <v>115</v>
      </c>
      <c r="K5" s="78" t="s">
        <v>145</v>
      </c>
      <c r="L5" s="78" t="s">
        <v>1646</v>
      </c>
      <c r="M5" s="87">
        <v>46256</v>
      </c>
      <c r="N5" s="78" t="s">
        <v>1647</v>
      </c>
      <c r="O5" s="88"/>
    </row>
    <row r="6" spans="1:15">
      <c r="A6" s="86" t="s">
        <v>1668</v>
      </c>
      <c r="B6" s="78" t="s">
        <v>1639</v>
      </c>
      <c r="C6" s="78" t="s">
        <v>1669</v>
      </c>
      <c r="D6" s="78" t="s">
        <v>1670</v>
      </c>
      <c r="E6" s="78" t="s">
        <v>1671</v>
      </c>
      <c r="F6" s="78" t="s">
        <v>1672</v>
      </c>
      <c r="G6" s="78" t="s">
        <v>1673</v>
      </c>
      <c r="H6" s="78" t="s">
        <v>1674</v>
      </c>
      <c r="I6" s="78" t="s">
        <v>102</v>
      </c>
      <c r="J6" s="78" t="s">
        <v>115</v>
      </c>
      <c r="K6" s="78" t="s">
        <v>145</v>
      </c>
      <c r="L6" s="78" t="s">
        <v>1646</v>
      </c>
      <c r="M6" s="87">
        <v>46259</v>
      </c>
      <c r="N6" s="78" t="s">
        <v>1647</v>
      </c>
      <c r="O6" s="88"/>
    </row>
    <row r="7" spans="1:15">
      <c r="A7" s="86" t="s">
        <v>1675</v>
      </c>
      <c r="B7" s="78" t="s">
        <v>1676</v>
      </c>
      <c r="C7" s="78" t="s">
        <v>1677</v>
      </c>
      <c r="D7" s="78" t="s">
        <v>1678</v>
      </c>
      <c r="E7" s="78" t="s">
        <v>1679</v>
      </c>
      <c r="F7" s="78" t="s">
        <v>1680</v>
      </c>
      <c r="G7" s="78" t="s">
        <v>1681</v>
      </c>
      <c r="H7" s="78" t="s">
        <v>1682</v>
      </c>
      <c r="I7" s="78" t="s">
        <v>102</v>
      </c>
      <c r="J7" s="78" t="s">
        <v>115</v>
      </c>
      <c r="K7" s="78" t="s">
        <v>145</v>
      </c>
      <c r="L7" s="78" t="s">
        <v>1646</v>
      </c>
      <c r="M7" s="87">
        <v>46260</v>
      </c>
      <c r="N7" s="78" t="s">
        <v>1647</v>
      </c>
      <c r="O7" s="88"/>
    </row>
    <row r="8" spans="1:15">
      <c r="A8" s="86" t="s">
        <v>1683</v>
      </c>
      <c r="B8" s="78" t="s">
        <v>1676</v>
      </c>
      <c r="C8" s="78" t="s">
        <v>1684</v>
      </c>
      <c r="D8" s="78" t="s">
        <v>1685</v>
      </c>
      <c r="E8" s="78" t="s">
        <v>1686</v>
      </c>
      <c r="F8" s="78" t="s">
        <v>1687</v>
      </c>
      <c r="G8" s="78" t="s">
        <v>1688</v>
      </c>
      <c r="H8" s="78" t="s">
        <v>1689</v>
      </c>
      <c r="I8" s="78" t="s">
        <v>102</v>
      </c>
      <c r="J8" s="78" t="s">
        <v>115</v>
      </c>
      <c r="K8" s="78" t="s">
        <v>145</v>
      </c>
      <c r="L8" s="78" t="s">
        <v>1646</v>
      </c>
      <c r="M8" s="87">
        <v>46260</v>
      </c>
      <c r="N8" s="78" t="s">
        <v>1647</v>
      </c>
      <c r="O8" s="88"/>
    </row>
    <row r="9" spans="1:15">
      <c r="A9" s="86" t="s">
        <v>1690</v>
      </c>
      <c r="B9" s="78" t="s">
        <v>1691</v>
      </c>
      <c r="C9" s="78" t="s">
        <v>1692</v>
      </c>
      <c r="D9" s="78" t="s">
        <v>1693</v>
      </c>
      <c r="E9" s="78" t="s">
        <v>1694</v>
      </c>
      <c r="F9" s="78" t="s">
        <v>1687</v>
      </c>
      <c r="G9" s="78" t="s">
        <v>1695</v>
      </c>
      <c r="H9" s="78" t="s">
        <v>1696</v>
      </c>
      <c r="I9" s="78" t="s">
        <v>102</v>
      </c>
      <c r="J9" s="78" t="s">
        <v>111</v>
      </c>
      <c r="K9" s="78" t="s">
        <v>141</v>
      </c>
      <c r="L9" s="78" t="s">
        <v>1646</v>
      </c>
      <c r="M9" s="87">
        <v>46260</v>
      </c>
      <c r="N9" s="78" t="s">
        <v>1647</v>
      </c>
      <c r="O9" s="88"/>
    </row>
    <row r="10" spans="1:15">
      <c r="A10" s="86" t="s">
        <v>1697</v>
      </c>
      <c r="B10" s="78" t="s">
        <v>1691</v>
      </c>
      <c r="C10" s="78" t="s">
        <v>1698</v>
      </c>
      <c r="D10" s="78" t="s">
        <v>1699</v>
      </c>
      <c r="E10" s="78" t="s">
        <v>1700</v>
      </c>
      <c r="F10" s="78" t="s">
        <v>1701</v>
      </c>
      <c r="G10" s="78" t="s">
        <v>1702</v>
      </c>
      <c r="H10" s="78" t="s">
        <v>1703</v>
      </c>
      <c r="I10" s="78" t="s">
        <v>102</v>
      </c>
      <c r="J10" s="78" t="s">
        <v>113</v>
      </c>
      <c r="K10" s="78" t="s">
        <v>129</v>
      </c>
      <c r="L10" s="78" t="s">
        <v>1646</v>
      </c>
      <c r="M10" s="87">
        <v>46260</v>
      </c>
      <c r="N10" s="78" t="s">
        <v>1647</v>
      </c>
      <c r="O10" s="88"/>
    </row>
    <row r="11" spans="1:15">
      <c r="A11" s="86" t="s">
        <v>1704</v>
      </c>
      <c r="B11" s="78" t="s">
        <v>1691</v>
      </c>
      <c r="C11" s="78" t="s">
        <v>1705</v>
      </c>
      <c r="D11" s="78" t="s">
        <v>1706</v>
      </c>
      <c r="E11" s="78" t="s">
        <v>1707</v>
      </c>
      <c r="F11" s="78" t="s">
        <v>1708</v>
      </c>
      <c r="G11" s="78" t="s">
        <v>1709</v>
      </c>
      <c r="H11" s="78" t="s">
        <v>1710</v>
      </c>
      <c r="I11" s="78" t="s">
        <v>102</v>
      </c>
      <c r="J11" s="78" t="s">
        <v>111</v>
      </c>
      <c r="K11" s="78" t="s">
        <v>141</v>
      </c>
      <c r="L11" s="78" t="s">
        <v>1646</v>
      </c>
      <c r="M11" s="87">
        <v>46260</v>
      </c>
      <c r="N11" s="78" t="s">
        <v>1647</v>
      </c>
      <c r="O11" s="88"/>
    </row>
    <row r="12" spans="1:15">
      <c r="A12" s="86" t="s">
        <v>1711</v>
      </c>
      <c r="B12" s="78" t="s">
        <v>1691</v>
      </c>
      <c r="C12" s="78" t="s">
        <v>1712</v>
      </c>
      <c r="D12" s="78" t="s">
        <v>1713</v>
      </c>
      <c r="E12" s="78" t="s">
        <v>1714</v>
      </c>
      <c r="F12" s="78" t="s">
        <v>1687</v>
      </c>
      <c r="G12" s="78" t="s">
        <v>1715</v>
      </c>
      <c r="H12" s="78" t="s">
        <v>1716</v>
      </c>
      <c r="I12" s="78" t="s">
        <v>102</v>
      </c>
      <c r="J12" s="78" t="s">
        <v>111</v>
      </c>
      <c r="K12" s="78" t="s">
        <v>141</v>
      </c>
      <c r="L12" s="78" t="s">
        <v>1646</v>
      </c>
      <c r="M12" s="87">
        <v>46260</v>
      </c>
      <c r="N12" s="78" t="s">
        <v>1647</v>
      </c>
      <c r="O12" s="88"/>
    </row>
    <row r="13" spans="1:15">
      <c r="A13" s="86" t="s">
        <v>1717</v>
      </c>
      <c r="B13" s="78" t="s">
        <v>1691</v>
      </c>
      <c r="C13" s="78" t="s">
        <v>1718</v>
      </c>
      <c r="D13" s="78" t="s">
        <v>1719</v>
      </c>
      <c r="E13" s="78" t="s">
        <v>1720</v>
      </c>
      <c r="F13" s="78" t="s">
        <v>1687</v>
      </c>
      <c r="G13" s="78" t="s">
        <v>1721</v>
      </c>
      <c r="H13" s="78" t="s">
        <v>1722</v>
      </c>
      <c r="I13" s="89" t="s">
        <v>104</v>
      </c>
      <c r="J13" s="78" t="s">
        <v>113</v>
      </c>
      <c r="K13" s="78" t="s">
        <v>129</v>
      </c>
      <c r="L13" s="78" t="s">
        <v>1646</v>
      </c>
      <c r="M13" s="87">
        <v>46260</v>
      </c>
      <c r="N13" s="78" t="s">
        <v>1647</v>
      </c>
      <c r="O13" s="88" t="s">
        <v>1723</v>
      </c>
    </row>
    <row r="14" spans="1:15">
      <c r="A14" s="86" t="s">
        <v>1724</v>
      </c>
      <c r="B14" s="78" t="s">
        <v>1725</v>
      </c>
      <c r="C14" s="78" t="s">
        <v>1726</v>
      </c>
      <c r="D14" s="78" t="s">
        <v>1727</v>
      </c>
      <c r="E14" s="78" t="s">
        <v>1728</v>
      </c>
      <c r="F14" s="78" t="s">
        <v>1680</v>
      </c>
      <c r="G14" s="78" t="s">
        <v>1729</v>
      </c>
      <c r="H14" s="78" t="s">
        <v>1730</v>
      </c>
      <c r="I14" s="78" t="s">
        <v>102</v>
      </c>
      <c r="J14" s="78" t="s">
        <v>115</v>
      </c>
      <c r="K14" s="78" t="s">
        <v>145</v>
      </c>
      <c r="L14" s="78" t="s">
        <v>1646</v>
      </c>
      <c r="M14" s="87">
        <v>46260</v>
      </c>
      <c r="N14" s="78" t="s">
        <v>1647</v>
      </c>
      <c r="O14" s="88"/>
    </row>
    <row r="15" spans="1:15">
      <c r="A15" s="86" t="s">
        <v>1731</v>
      </c>
      <c r="B15" s="78" t="s">
        <v>1725</v>
      </c>
      <c r="C15" s="78" t="s">
        <v>1732</v>
      </c>
      <c r="D15" s="78" t="s">
        <v>1733</v>
      </c>
      <c r="E15" s="78" t="s">
        <v>1734</v>
      </c>
      <c r="F15" s="78" t="s">
        <v>1735</v>
      </c>
      <c r="G15" s="78" t="s">
        <v>1736</v>
      </c>
      <c r="H15" s="78" t="s">
        <v>1737</v>
      </c>
      <c r="I15" s="78" t="s">
        <v>102</v>
      </c>
      <c r="J15" s="78" t="s">
        <v>115</v>
      </c>
      <c r="K15" s="78" t="s">
        <v>145</v>
      </c>
      <c r="L15" s="78" t="s">
        <v>1646</v>
      </c>
      <c r="M15" s="87">
        <v>46260</v>
      </c>
      <c r="N15" s="78" t="s">
        <v>1647</v>
      </c>
      <c r="O15" s="88"/>
    </row>
    <row r="16" spans="1:15">
      <c r="A16" s="86" t="s">
        <v>1738</v>
      </c>
      <c r="B16" s="78" t="s">
        <v>1725</v>
      </c>
      <c r="C16" s="78" t="s">
        <v>1739</v>
      </c>
      <c r="D16" s="78" t="s">
        <v>1740</v>
      </c>
      <c r="E16" s="78" t="s">
        <v>1741</v>
      </c>
      <c r="F16" s="78" t="s">
        <v>1687</v>
      </c>
      <c r="G16" s="78" t="s">
        <v>1742</v>
      </c>
      <c r="H16" s="78" t="s">
        <v>1743</v>
      </c>
      <c r="I16" s="78" t="s">
        <v>102</v>
      </c>
      <c r="J16" s="78" t="s">
        <v>113</v>
      </c>
      <c r="K16" s="78" t="s">
        <v>129</v>
      </c>
      <c r="L16" s="78" t="s">
        <v>1646</v>
      </c>
      <c r="M16" s="87">
        <v>46260</v>
      </c>
      <c r="N16" s="78" t="s">
        <v>1647</v>
      </c>
      <c r="O16" s="88"/>
    </row>
    <row r="17" spans="1:15">
      <c r="A17" s="86" t="s">
        <v>1744</v>
      </c>
      <c r="B17" s="78" t="s">
        <v>1745</v>
      </c>
      <c r="C17" s="78" t="s">
        <v>1746</v>
      </c>
      <c r="D17" s="78" t="s">
        <v>1747</v>
      </c>
      <c r="E17" s="78" t="s">
        <v>1748</v>
      </c>
      <c r="F17" s="78" t="s">
        <v>1749</v>
      </c>
      <c r="G17" s="78" t="s">
        <v>1750</v>
      </c>
      <c r="H17" s="78" t="s">
        <v>1751</v>
      </c>
      <c r="I17" s="78" t="s">
        <v>102</v>
      </c>
      <c r="J17" s="78" t="s">
        <v>111</v>
      </c>
      <c r="K17" s="78" t="s">
        <v>141</v>
      </c>
      <c r="L17" s="78" t="s">
        <v>1646</v>
      </c>
      <c r="M17" s="87">
        <v>46260</v>
      </c>
      <c r="N17" s="78" t="s">
        <v>1647</v>
      </c>
      <c r="O17" s="88"/>
    </row>
    <row r="18" spans="1:15">
      <c r="A18" s="86" t="s">
        <v>1752</v>
      </c>
      <c r="B18" s="78" t="s">
        <v>1753</v>
      </c>
      <c r="C18" s="78" t="s">
        <v>1754</v>
      </c>
      <c r="D18" s="78" t="s">
        <v>1755</v>
      </c>
      <c r="E18" s="78" t="s">
        <v>1756</v>
      </c>
      <c r="F18" s="78" t="s">
        <v>1757</v>
      </c>
      <c r="G18" s="78" t="s">
        <v>1758</v>
      </c>
      <c r="H18" s="78" t="s">
        <v>1759</v>
      </c>
      <c r="I18" s="78" t="s">
        <v>102</v>
      </c>
      <c r="J18" s="78" t="s">
        <v>115</v>
      </c>
      <c r="K18" s="78" t="s">
        <v>145</v>
      </c>
      <c r="L18" s="78" t="s">
        <v>1646</v>
      </c>
      <c r="M18" s="87">
        <v>46260</v>
      </c>
      <c r="N18" s="78" t="s">
        <v>1647</v>
      </c>
      <c r="O18" s="88"/>
    </row>
    <row r="19" spans="1:15">
      <c r="A19" s="86" t="s">
        <v>1760</v>
      </c>
      <c r="B19" s="78" t="s">
        <v>1639</v>
      </c>
      <c r="C19" s="78" t="s">
        <v>1761</v>
      </c>
      <c r="D19" s="78" t="s">
        <v>1762</v>
      </c>
      <c r="E19" s="78" t="s">
        <v>1748</v>
      </c>
      <c r="F19" s="78" t="s">
        <v>1643</v>
      </c>
      <c r="G19" s="78" t="s">
        <v>1763</v>
      </c>
      <c r="H19" s="78" t="s">
        <v>1764</v>
      </c>
      <c r="I19" s="90" t="s">
        <v>104</v>
      </c>
      <c r="J19" s="78" t="s">
        <v>115</v>
      </c>
      <c r="K19" s="78" t="s">
        <v>129</v>
      </c>
      <c r="L19" s="78" t="s">
        <v>1646</v>
      </c>
      <c r="M19" s="87">
        <v>46259</v>
      </c>
      <c r="N19" s="78" t="s">
        <v>1647</v>
      </c>
      <c r="O19" s="88" t="s">
        <v>1765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75B6"/>
  </sheetPr>
  <dimension ref="A1:P300"/>
  <sheetViews>
    <sheetView showGridLines="0" zoomScaleNormal="100" workbookViewId="0">
      <pane ySplit="3" topLeftCell="A4" activePane="bottomLeft" state="frozen"/>
      <selection pane="bottomLeft" activeCell="G5" sqref="G5"/>
    </sheetView>
  </sheetViews>
  <sheetFormatPr defaultColWidth="8.7109375" defaultRowHeight="15"/>
  <cols>
    <col min="1" max="1" width="12" customWidth="1"/>
    <col min="2" max="2" width="20" customWidth="1"/>
    <col min="3" max="3" width="26" customWidth="1"/>
    <col min="4" max="4" width="34" customWidth="1"/>
    <col min="5" max="5" width="22" customWidth="1"/>
    <col min="6" max="6" width="20" customWidth="1"/>
    <col min="7" max="8" width="28" customWidth="1"/>
    <col min="9" max="9" width="14" customWidth="1"/>
    <col min="10" max="10" width="12" customWidth="1"/>
    <col min="11" max="12" width="14" customWidth="1"/>
    <col min="13" max="13" width="13" customWidth="1"/>
    <col min="14" max="14" width="12" customWidth="1"/>
    <col min="15" max="15" width="18" customWidth="1"/>
    <col min="16" max="16" width="26" customWidth="1"/>
  </cols>
  <sheetData>
    <row r="1" spans="1:16" ht="31.5" customHeight="1">
      <c r="A1" s="122" t="s">
        <v>1766</v>
      </c>
      <c r="B1" s="122"/>
      <c r="C1" s="122"/>
      <c r="D1" s="122"/>
      <c r="E1" s="122"/>
      <c r="F1" s="122"/>
      <c r="G1" s="122"/>
      <c r="H1" s="122"/>
      <c r="I1" s="122"/>
      <c r="J1" s="122"/>
      <c r="K1" s="122"/>
      <c r="L1" s="122"/>
      <c r="M1" s="122"/>
      <c r="N1" s="122"/>
      <c r="O1" s="122"/>
      <c r="P1" s="122"/>
    </row>
    <row r="2" spans="1:16" ht="18" customHeight="1">
      <c r="A2" s="123" t="s">
        <v>32</v>
      </c>
      <c r="B2" s="123"/>
      <c r="C2" s="123"/>
      <c r="D2" s="123"/>
      <c r="E2" s="123"/>
      <c r="F2" s="123"/>
      <c r="G2" s="123"/>
      <c r="H2" s="123"/>
      <c r="I2" s="123"/>
      <c r="J2" s="123"/>
      <c r="K2" s="123"/>
      <c r="L2" s="123"/>
      <c r="M2" s="123"/>
      <c r="N2" s="123"/>
      <c r="O2" s="123"/>
      <c r="P2" s="123"/>
    </row>
    <row r="3" spans="1:16" ht="30" customHeight="1">
      <c r="A3" s="31" t="s">
        <v>50</v>
      </c>
      <c r="B3" s="31" t="s">
        <v>53</v>
      </c>
      <c r="C3" s="31" t="s">
        <v>56</v>
      </c>
      <c r="D3" s="31" t="s">
        <v>59</v>
      </c>
      <c r="E3" s="31" t="s">
        <v>62</v>
      </c>
      <c r="F3" s="31" t="s">
        <v>65</v>
      </c>
      <c r="G3" s="31" t="s">
        <v>68</v>
      </c>
      <c r="H3" s="31" t="s">
        <v>71</v>
      </c>
      <c r="I3" s="31" t="s">
        <v>74</v>
      </c>
      <c r="J3" s="31" t="s">
        <v>77</v>
      </c>
      <c r="K3" s="31" t="s">
        <v>80</v>
      </c>
      <c r="L3" s="31" t="s">
        <v>83</v>
      </c>
      <c r="M3" s="31" t="s">
        <v>86</v>
      </c>
      <c r="N3" s="31" t="s">
        <v>89</v>
      </c>
      <c r="O3" s="31" t="s">
        <v>92</v>
      </c>
      <c r="P3" s="31" t="s">
        <v>95</v>
      </c>
    </row>
    <row r="4" spans="1:16" ht="60" customHeight="1">
      <c r="A4" s="32" t="s">
        <v>121</v>
      </c>
      <c r="B4" s="33" t="s">
        <v>122</v>
      </c>
      <c r="C4" s="33" t="s">
        <v>123</v>
      </c>
      <c r="D4" s="33" t="s">
        <v>151</v>
      </c>
      <c r="E4" s="33" t="s">
        <v>125</v>
      </c>
      <c r="F4" s="33" t="s">
        <v>126</v>
      </c>
      <c r="G4" s="33" t="s">
        <v>152</v>
      </c>
      <c r="H4" s="33" t="s">
        <v>128</v>
      </c>
      <c r="I4" s="33" t="s">
        <v>102</v>
      </c>
      <c r="J4" s="33" t="s">
        <v>115</v>
      </c>
      <c r="K4" s="33" t="s">
        <v>129</v>
      </c>
      <c r="L4" s="33" t="s">
        <v>130</v>
      </c>
      <c r="M4" s="33" t="s">
        <v>131</v>
      </c>
      <c r="N4" s="33" t="s">
        <v>132</v>
      </c>
      <c r="O4" s="33" t="s">
        <v>153</v>
      </c>
      <c r="P4" s="33" t="s">
        <v>154</v>
      </c>
    </row>
    <row r="5" spans="1:16" ht="30" customHeight="1">
      <c r="A5" s="42" t="s">
        <v>1767</v>
      </c>
      <c r="B5" s="42" t="s">
        <v>1768</v>
      </c>
      <c r="C5" s="42" t="s">
        <v>1769</v>
      </c>
      <c r="D5" s="42" t="s">
        <v>1770</v>
      </c>
      <c r="E5" s="42" t="s">
        <v>801</v>
      </c>
      <c r="F5" s="42" t="s">
        <v>1771</v>
      </c>
      <c r="G5" s="42"/>
      <c r="H5" s="42"/>
      <c r="I5" s="42"/>
      <c r="J5" s="42"/>
      <c r="K5" s="42"/>
      <c r="L5" s="42"/>
      <c r="M5" s="50"/>
      <c r="N5" s="42"/>
      <c r="O5" s="42"/>
      <c r="P5" s="42"/>
    </row>
    <row r="6" spans="1:16" ht="30" customHeight="1">
      <c r="A6" s="42"/>
      <c r="B6" s="42"/>
      <c r="C6" s="42"/>
      <c r="D6" s="42"/>
      <c r="E6" s="42"/>
      <c r="F6" s="42"/>
      <c r="G6" s="42"/>
      <c r="H6" s="42"/>
      <c r="I6" s="42"/>
      <c r="J6" s="42"/>
      <c r="K6" s="42"/>
      <c r="L6" s="42"/>
      <c r="M6" s="50"/>
      <c r="N6" s="42"/>
      <c r="O6" s="42"/>
      <c r="P6" s="42"/>
    </row>
    <row r="7" spans="1:16" ht="30" customHeight="1">
      <c r="A7" s="42"/>
      <c r="B7" s="42"/>
      <c r="C7" s="42"/>
      <c r="D7" s="42"/>
      <c r="E7" s="42"/>
      <c r="F7" s="42"/>
      <c r="G7" s="42"/>
      <c r="H7" s="42"/>
      <c r="I7" s="42"/>
      <c r="J7" s="42"/>
      <c r="K7" s="42"/>
      <c r="L7" s="42"/>
      <c r="M7" s="50"/>
      <c r="N7" s="42"/>
      <c r="O7" s="42"/>
      <c r="P7" s="42"/>
    </row>
    <row r="8" spans="1:16" ht="30" customHeight="1">
      <c r="A8" s="42"/>
      <c r="B8" s="42"/>
      <c r="C8" s="42"/>
      <c r="D8" s="42"/>
      <c r="E8" s="42"/>
      <c r="F8" s="42"/>
      <c r="G8" s="42"/>
      <c r="H8" s="42"/>
      <c r="I8" s="42"/>
      <c r="J8" s="42"/>
      <c r="K8" s="42"/>
      <c r="L8" s="42"/>
      <c r="M8" s="50"/>
      <c r="N8" s="42"/>
      <c r="O8" s="42"/>
      <c r="P8" s="42"/>
    </row>
    <row r="9" spans="1:16" ht="30" customHeight="1">
      <c r="A9" s="42"/>
      <c r="B9" s="42"/>
      <c r="C9" s="42"/>
      <c r="D9" s="42"/>
      <c r="E9" s="42"/>
      <c r="F9" s="42"/>
      <c r="G9" s="42"/>
      <c r="H9" s="42"/>
      <c r="I9" s="42"/>
      <c r="J9" s="42"/>
      <c r="K9" s="42"/>
      <c r="L9" s="42"/>
      <c r="M9" s="50"/>
      <c r="N9" s="42"/>
      <c r="O9" s="42"/>
      <c r="P9" s="42"/>
    </row>
    <row r="10" spans="1:16" ht="30" customHeight="1">
      <c r="A10" s="42"/>
      <c r="B10" s="42"/>
      <c r="C10" s="42"/>
      <c r="D10" s="42"/>
      <c r="E10" s="42"/>
      <c r="F10" s="42"/>
      <c r="G10" s="42"/>
      <c r="H10" s="42"/>
      <c r="I10" s="42"/>
      <c r="J10" s="42"/>
      <c r="K10" s="42"/>
      <c r="L10" s="42"/>
      <c r="M10" s="50"/>
      <c r="N10" s="42"/>
      <c r="O10" s="42"/>
      <c r="P10" s="42"/>
    </row>
    <row r="11" spans="1:16" ht="30" customHeight="1">
      <c r="A11" s="42"/>
      <c r="B11" s="42"/>
      <c r="C11" s="42"/>
      <c r="D11" s="42"/>
      <c r="E11" s="42"/>
      <c r="F11" s="42"/>
      <c r="G11" s="42"/>
      <c r="H11" s="42"/>
      <c r="I11" s="42"/>
      <c r="J11" s="42"/>
      <c r="K11" s="42"/>
      <c r="L11" s="42"/>
      <c r="M11" s="50"/>
      <c r="N11" s="42"/>
      <c r="O11" s="42"/>
      <c r="P11" s="42"/>
    </row>
    <row r="12" spans="1:16" ht="30" customHeight="1">
      <c r="A12" s="42"/>
      <c r="B12" s="42"/>
      <c r="C12" s="42"/>
      <c r="D12" s="42"/>
      <c r="E12" s="42"/>
      <c r="F12" s="42"/>
      <c r="G12" s="42"/>
      <c r="H12" s="42"/>
      <c r="I12" s="42"/>
      <c r="J12" s="42"/>
      <c r="K12" s="42"/>
      <c r="L12" s="42"/>
      <c r="M12" s="50"/>
      <c r="N12" s="42"/>
      <c r="O12" s="42"/>
      <c r="P12" s="42"/>
    </row>
    <row r="13" spans="1:16" ht="30" customHeight="1">
      <c r="A13" s="42"/>
      <c r="B13" s="42"/>
      <c r="C13" s="42"/>
      <c r="D13" s="42"/>
      <c r="E13" s="42"/>
      <c r="F13" s="42"/>
      <c r="G13" s="42"/>
      <c r="H13" s="42"/>
      <c r="I13" s="42"/>
      <c r="J13" s="42"/>
      <c r="K13" s="42"/>
      <c r="L13" s="42"/>
      <c r="M13" s="50"/>
      <c r="N13" s="42"/>
      <c r="O13" s="42"/>
      <c r="P13" s="42"/>
    </row>
    <row r="14" spans="1:16" ht="30" customHeight="1">
      <c r="A14" s="42"/>
      <c r="B14" s="42"/>
      <c r="C14" s="42"/>
      <c r="D14" s="42"/>
      <c r="E14" s="42"/>
      <c r="F14" s="42"/>
      <c r="G14" s="42"/>
      <c r="H14" s="42"/>
      <c r="I14" s="42"/>
      <c r="J14" s="42"/>
      <c r="K14" s="42"/>
      <c r="L14" s="42"/>
      <c r="M14" s="50"/>
      <c r="N14" s="42"/>
      <c r="O14" s="42"/>
      <c r="P14" s="42"/>
    </row>
    <row r="15" spans="1:16" ht="30" customHeight="1">
      <c r="A15" s="42"/>
      <c r="B15" s="42"/>
      <c r="C15" s="42"/>
      <c r="D15" s="42"/>
      <c r="E15" s="42"/>
      <c r="F15" s="42"/>
      <c r="G15" s="42"/>
      <c r="H15" s="42"/>
      <c r="I15" s="42"/>
      <c r="J15" s="42"/>
      <c r="K15" s="42"/>
      <c r="L15" s="42"/>
      <c r="M15" s="50"/>
      <c r="N15" s="42"/>
      <c r="O15" s="42"/>
      <c r="P15" s="42"/>
    </row>
    <row r="16" spans="1:16" ht="30" customHeight="1">
      <c r="A16" s="42"/>
      <c r="B16" s="42"/>
      <c r="C16" s="42"/>
      <c r="D16" s="42"/>
      <c r="E16" s="42"/>
      <c r="F16" s="42"/>
      <c r="G16" s="42"/>
      <c r="H16" s="42"/>
      <c r="I16" s="42"/>
      <c r="J16" s="42"/>
      <c r="K16" s="42"/>
      <c r="L16" s="42"/>
      <c r="M16" s="50"/>
      <c r="N16" s="42"/>
      <c r="O16" s="42"/>
      <c r="P16" s="42"/>
    </row>
    <row r="17" spans="1:16" ht="30" customHeight="1">
      <c r="A17" s="42"/>
      <c r="B17" s="42"/>
      <c r="C17" s="42"/>
      <c r="D17" s="42"/>
      <c r="E17" s="42"/>
      <c r="F17" s="42"/>
      <c r="G17" s="42"/>
      <c r="H17" s="42"/>
      <c r="I17" s="42"/>
      <c r="J17" s="42"/>
      <c r="K17" s="42"/>
      <c r="L17" s="42"/>
      <c r="M17" s="50"/>
      <c r="N17" s="42"/>
      <c r="O17" s="42"/>
      <c r="P17" s="42"/>
    </row>
    <row r="18" spans="1:16" ht="30" customHeight="1">
      <c r="A18" s="42"/>
      <c r="B18" s="42"/>
      <c r="C18" s="42"/>
      <c r="D18" s="42"/>
      <c r="E18" s="42"/>
      <c r="F18" s="42"/>
      <c r="G18" s="42"/>
      <c r="H18" s="42"/>
      <c r="I18" s="42"/>
      <c r="J18" s="42"/>
      <c r="K18" s="42"/>
      <c r="L18" s="42"/>
      <c r="M18" s="50"/>
      <c r="N18" s="42"/>
      <c r="O18" s="42"/>
      <c r="P18" s="42"/>
    </row>
    <row r="19" spans="1:16" ht="30" customHeight="1">
      <c r="A19" s="42"/>
      <c r="B19" s="42"/>
      <c r="C19" s="42"/>
      <c r="D19" s="42"/>
      <c r="E19" s="42"/>
      <c r="F19" s="42"/>
      <c r="G19" s="42"/>
      <c r="H19" s="42"/>
      <c r="I19" s="42"/>
      <c r="J19" s="42"/>
      <c r="K19" s="42"/>
      <c r="L19" s="42"/>
      <c r="M19" s="50"/>
      <c r="N19" s="42"/>
      <c r="O19" s="42"/>
      <c r="P19" s="42"/>
    </row>
    <row r="20" spans="1:16" ht="30" customHeight="1">
      <c r="A20" s="42"/>
      <c r="B20" s="42"/>
      <c r="C20" s="42"/>
      <c r="D20" s="42"/>
      <c r="E20" s="42"/>
      <c r="F20" s="42"/>
      <c r="G20" s="42"/>
      <c r="H20" s="42"/>
      <c r="I20" s="42"/>
      <c r="J20" s="42"/>
      <c r="K20" s="42"/>
      <c r="L20" s="42"/>
      <c r="M20" s="50"/>
      <c r="N20" s="42"/>
      <c r="O20" s="42"/>
      <c r="P20" s="42"/>
    </row>
    <row r="21" spans="1:16" ht="30" customHeight="1">
      <c r="A21" s="42"/>
      <c r="B21" s="42"/>
      <c r="C21" s="42"/>
      <c r="D21" s="42"/>
      <c r="E21" s="42"/>
      <c r="F21" s="42"/>
      <c r="G21" s="42"/>
      <c r="H21" s="42"/>
      <c r="I21" s="42"/>
      <c r="J21" s="42"/>
      <c r="K21" s="42"/>
      <c r="L21" s="42"/>
      <c r="M21" s="50"/>
      <c r="N21" s="42"/>
      <c r="O21" s="42"/>
      <c r="P21" s="42"/>
    </row>
    <row r="22" spans="1:16" ht="30" customHeight="1">
      <c r="A22" s="42"/>
      <c r="B22" s="42"/>
      <c r="C22" s="42"/>
      <c r="D22" s="42"/>
      <c r="E22" s="42"/>
      <c r="F22" s="42"/>
      <c r="G22" s="42"/>
      <c r="H22" s="42"/>
      <c r="I22" s="42"/>
      <c r="J22" s="42"/>
      <c r="K22" s="42"/>
      <c r="L22" s="42"/>
      <c r="M22" s="50"/>
      <c r="N22" s="42"/>
      <c r="O22" s="42"/>
      <c r="P22" s="42"/>
    </row>
    <row r="23" spans="1:16" ht="30" customHeight="1">
      <c r="A23" s="42"/>
      <c r="B23" s="42"/>
      <c r="C23" s="42"/>
      <c r="D23" s="42"/>
      <c r="E23" s="42"/>
      <c r="F23" s="42"/>
      <c r="G23" s="42"/>
      <c r="H23" s="42"/>
      <c r="I23" s="42"/>
      <c r="J23" s="42"/>
      <c r="K23" s="42"/>
      <c r="L23" s="42"/>
      <c r="M23" s="50"/>
      <c r="N23" s="42"/>
      <c r="O23" s="42"/>
      <c r="P23" s="42"/>
    </row>
    <row r="24" spans="1:16" ht="30" customHeight="1">
      <c r="A24" s="42"/>
      <c r="B24" s="42"/>
      <c r="C24" s="42"/>
      <c r="D24" s="42"/>
      <c r="E24" s="42"/>
      <c r="F24" s="42"/>
      <c r="G24" s="42"/>
      <c r="H24" s="42"/>
      <c r="I24" s="42"/>
      <c r="J24" s="42"/>
      <c r="K24" s="42"/>
      <c r="L24" s="42"/>
      <c r="M24" s="50"/>
      <c r="N24" s="42"/>
      <c r="O24" s="42"/>
      <c r="P24" s="42"/>
    </row>
    <row r="25" spans="1:16" ht="30" customHeight="1">
      <c r="A25" s="42"/>
      <c r="B25" s="42"/>
      <c r="C25" s="42"/>
      <c r="D25" s="42"/>
      <c r="E25" s="42"/>
      <c r="F25" s="42"/>
      <c r="G25" s="42"/>
      <c r="H25" s="42"/>
      <c r="I25" s="42"/>
      <c r="J25" s="42"/>
      <c r="K25" s="42"/>
      <c r="L25" s="42"/>
      <c r="M25" s="50"/>
      <c r="N25" s="42"/>
      <c r="O25" s="42"/>
      <c r="P25" s="42"/>
    </row>
    <row r="26" spans="1:16" ht="30" customHeight="1">
      <c r="A26" s="42"/>
      <c r="B26" s="42"/>
      <c r="C26" s="42"/>
      <c r="D26" s="42"/>
      <c r="E26" s="42"/>
      <c r="F26" s="42"/>
      <c r="G26" s="42"/>
      <c r="H26" s="42"/>
      <c r="I26" s="42"/>
      <c r="J26" s="42"/>
      <c r="K26" s="42"/>
      <c r="L26" s="42"/>
      <c r="M26" s="50"/>
      <c r="N26" s="42"/>
      <c r="O26" s="42"/>
      <c r="P26" s="42"/>
    </row>
    <row r="27" spans="1:16" ht="30" customHeight="1">
      <c r="A27" s="42"/>
      <c r="B27" s="42"/>
      <c r="C27" s="42"/>
      <c r="D27" s="42"/>
      <c r="E27" s="42"/>
      <c r="F27" s="42"/>
      <c r="G27" s="42"/>
      <c r="H27" s="42"/>
      <c r="I27" s="42"/>
      <c r="J27" s="42"/>
      <c r="K27" s="42"/>
      <c r="L27" s="42"/>
      <c r="M27" s="50"/>
      <c r="N27" s="42"/>
      <c r="O27" s="42"/>
      <c r="P27" s="42"/>
    </row>
    <row r="28" spans="1:16" ht="30" customHeight="1">
      <c r="A28" s="42"/>
      <c r="B28" s="42"/>
      <c r="C28" s="42"/>
      <c r="D28" s="42"/>
      <c r="E28" s="42"/>
      <c r="F28" s="42"/>
      <c r="G28" s="42"/>
      <c r="H28" s="42"/>
      <c r="I28" s="42"/>
      <c r="J28" s="42"/>
      <c r="K28" s="42"/>
      <c r="L28" s="42"/>
      <c r="M28" s="50"/>
      <c r="N28" s="42"/>
      <c r="O28" s="42"/>
      <c r="P28" s="42"/>
    </row>
    <row r="29" spans="1:16" ht="30" customHeight="1">
      <c r="A29" s="42"/>
      <c r="B29" s="42"/>
      <c r="C29" s="42"/>
      <c r="D29" s="42"/>
      <c r="E29" s="42"/>
      <c r="F29" s="42"/>
      <c r="G29" s="42"/>
      <c r="H29" s="42"/>
      <c r="I29" s="42"/>
      <c r="J29" s="42"/>
      <c r="K29" s="42"/>
      <c r="L29" s="42"/>
      <c r="M29" s="50"/>
      <c r="N29" s="42"/>
      <c r="O29" s="42"/>
      <c r="P29" s="42"/>
    </row>
    <row r="30" spans="1:16" ht="30" customHeight="1">
      <c r="A30" s="42"/>
      <c r="B30" s="42"/>
      <c r="C30" s="42"/>
      <c r="D30" s="42"/>
      <c r="E30" s="42"/>
      <c r="F30" s="42"/>
      <c r="G30" s="42"/>
      <c r="H30" s="42"/>
      <c r="I30" s="42"/>
      <c r="J30" s="42"/>
      <c r="K30" s="42"/>
      <c r="L30" s="42"/>
      <c r="M30" s="50"/>
      <c r="N30" s="42"/>
      <c r="O30" s="42"/>
      <c r="P30" s="42"/>
    </row>
    <row r="31" spans="1:16" ht="30" customHeight="1">
      <c r="A31" s="42"/>
      <c r="B31" s="42"/>
      <c r="C31" s="42"/>
      <c r="D31" s="42"/>
      <c r="E31" s="42"/>
      <c r="F31" s="42"/>
      <c r="G31" s="42"/>
      <c r="H31" s="42"/>
      <c r="I31" s="42"/>
      <c r="J31" s="42"/>
      <c r="K31" s="42"/>
      <c r="L31" s="42"/>
      <c r="M31" s="50"/>
      <c r="N31" s="42"/>
      <c r="O31" s="42"/>
      <c r="P31" s="42"/>
    </row>
    <row r="32" spans="1:16" ht="30" customHeight="1">
      <c r="A32" s="42"/>
      <c r="B32" s="42"/>
      <c r="C32" s="42"/>
      <c r="D32" s="42"/>
      <c r="E32" s="42"/>
      <c r="F32" s="42"/>
      <c r="G32" s="42"/>
      <c r="H32" s="42"/>
      <c r="I32" s="42"/>
      <c r="J32" s="42"/>
      <c r="K32" s="42"/>
      <c r="L32" s="42"/>
      <c r="M32" s="50"/>
      <c r="N32" s="42"/>
      <c r="O32" s="42"/>
      <c r="P32" s="42"/>
    </row>
    <row r="33" spans="1:16" ht="30" customHeight="1">
      <c r="A33" s="42"/>
      <c r="B33" s="42"/>
      <c r="C33" s="42"/>
      <c r="D33" s="42"/>
      <c r="E33" s="42"/>
      <c r="F33" s="42"/>
      <c r="G33" s="42"/>
      <c r="H33" s="42"/>
      <c r="I33" s="42"/>
      <c r="J33" s="42"/>
      <c r="K33" s="42"/>
      <c r="L33" s="42"/>
      <c r="M33" s="50"/>
      <c r="N33" s="42"/>
      <c r="O33" s="42"/>
      <c r="P33" s="42"/>
    </row>
    <row r="34" spans="1:16" ht="30" customHeight="1">
      <c r="A34" s="42"/>
      <c r="B34" s="42"/>
      <c r="C34" s="42"/>
      <c r="D34" s="42"/>
      <c r="E34" s="42"/>
      <c r="F34" s="42"/>
      <c r="G34" s="42"/>
      <c r="H34" s="42"/>
      <c r="I34" s="42"/>
      <c r="J34" s="42"/>
      <c r="K34" s="42"/>
      <c r="L34" s="42"/>
      <c r="M34" s="50"/>
      <c r="N34" s="42"/>
      <c r="O34" s="42"/>
      <c r="P34" s="42"/>
    </row>
    <row r="35" spans="1:16" ht="30" customHeight="1">
      <c r="A35" s="42"/>
      <c r="B35" s="42"/>
      <c r="C35" s="42"/>
      <c r="D35" s="42"/>
      <c r="E35" s="42"/>
      <c r="F35" s="42"/>
      <c r="G35" s="42"/>
      <c r="H35" s="42"/>
      <c r="I35" s="42"/>
      <c r="J35" s="42"/>
      <c r="K35" s="42"/>
      <c r="L35" s="42"/>
      <c r="M35" s="50"/>
      <c r="N35" s="42"/>
      <c r="O35" s="42"/>
      <c r="P35" s="42"/>
    </row>
    <row r="36" spans="1:16" ht="30" customHeight="1">
      <c r="A36" s="42"/>
      <c r="B36" s="42"/>
      <c r="C36" s="42"/>
      <c r="D36" s="42"/>
      <c r="E36" s="42"/>
      <c r="F36" s="42"/>
      <c r="G36" s="42"/>
      <c r="H36" s="42"/>
      <c r="I36" s="42"/>
      <c r="J36" s="42"/>
      <c r="K36" s="42"/>
      <c r="L36" s="42"/>
      <c r="M36" s="50"/>
      <c r="N36" s="42"/>
      <c r="O36" s="42"/>
      <c r="P36" s="42"/>
    </row>
    <row r="37" spans="1:16" ht="30" customHeight="1">
      <c r="A37" s="42"/>
      <c r="B37" s="42"/>
      <c r="C37" s="42"/>
      <c r="D37" s="42"/>
      <c r="E37" s="42"/>
      <c r="F37" s="42"/>
      <c r="G37" s="42"/>
      <c r="H37" s="42"/>
      <c r="I37" s="42"/>
      <c r="J37" s="42"/>
      <c r="K37" s="42"/>
      <c r="L37" s="42"/>
      <c r="M37" s="50"/>
      <c r="N37" s="42"/>
      <c r="O37" s="42"/>
      <c r="P37" s="42"/>
    </row>
    <row r="38" spans="1:16" ht="30" customHeight="1">
      <c r="A38" s="42"/>
      <c r="B38" s="42"/>
      <c r="C38" s="42"/>
      <c r="D38" s="42"/>
      <c r="E38" s="42"/>
      <c r="F38" s="42"/>
      <c r="G38" s="42"/>
      <c r="H38" s="42"/>
      <c r="I38" s="42"/>
      <c r="J38" s="42"/>
      <c r="K38" s="42"/>
      <c r="L38" s="42"/>
      <c r="M38" s="50"/>
      <c r="N38" s="42"/>
      <c r="O38" s="42"/>
      <c r="P38" s="42"/>
    </row>
    <row r="39" spans="1:16" ht="30" customHeight="1">
      <c r="A39" s="42"/>
      <c r="B39" s="42"/>
      <c r="C39" s="42"/>
      <c r="D39" s="42"/>
      <c r="E39" s="42"/>
      <c r="F39" s="42"/>
      <c r="G39" s="42"/>
      <c r="H39" s="42"/>
      <c r="I39" s="42"/>
      <c r="J39" s="42"/>
      <c r="K39" s="42"/>
      <c r="L39" s="42"/>
      <c r="M39" s="50"/>
      <c r="N39" s="42"/>
      <c r="O39" s="42"/>
      <c r="P39" s="42"/>
    </row>
    <row r="40" spans="1:16" ht="30" customHeight="1">
      <c r="A40" s="42"/>
      <c r="B40" s="42"/>
      <c r="C40" s="42"/>
      <c r="D40" s="42"/>
      <c r="E40" s="42"/>
      <c r="F40" s="42"/>
      <c r="G40" s="42"/>
      <c r="H40" s="42"/>
      <c r="I40" s="42"/>
      <c r="J40" s="42"/>
      <c r="K40" s="42"/>
      <c r="L40" s="42"/>
      <c r="M40" s="50"/>
      <c r="N40" s="42"/>
      <c r="O40" s="42"/>
      <c r="P40" s="42"/>
    </row>
    <row r="41" spans="1:16" ht="30" customHeight="1">
      <c r="A41" s="42"/>
      <c r="B41" s="42"/>
      <c r="C41" s="42"/>
      <c r="D41" s="42"/>
      <c r="E41" s="42"/>
      <c r="F41" s="42"/>
      <c r="G41" s="42"/>
      <c r="H41" s="42"/>
      <c r="I41" s="42"/>
      <c r="J41" s="42"/>
      <c r="K41" s="42"/>
      <c r="L41" s="42"/>
      <c r="M41" s="50"/>
      <c r="N41" s="42"/>
      <c r="O41" s="42"/>
      <c r="P41" s="42"/>
    </row>
    <row r="42" spans="1:16" ht="30" customHeight="1">
      <c r="A42" s="42"/>
      <c r="B42" s="42"/>
      <c r="C42" s="42"/>
      <c r="D42" s="42"/>
      <c r="E42" s="42"/>
      <c r="F42" s="42"/>
      <c r="G42" s="42"/>
      <c r="H42" s="42"/>
      <c r="I42" s="42"/>
      <c r="J42" s="42"/>
      <c r="K42" s="42"/>
      <c r="L42" s="42"/>
      <c r="M42" s="50"/>
      <c r="N42" s="42"/>
      <c r="O42" s="42"/>
      <c r="P42" s="42"/>
    </row>
    <row r="43" spans="1:16" ht="30" customHeight="1">
      <c r="A43" s="42"/>
      <c r="B43" s="42"/>
      <c r="C43" s="42"/>
      <c r="D43" s="42"/>
      <c r="E43" s="42"/>
      <c r="F43" s="42"/>
      <c r="G43" s="42"/>
      <c r="H43" s="42"/>
      <c r="I43" s="42"/>
      <c r="J43" s="42"/>
      <c r="K43" s="42"/>
      <c r="L43" s="42"/>
      <c r="M43" s="50"/>
      <c r="N43" s="42"/>
      <c r="O43" s="42"/>
      <c r="P43" s="42"/>
    </row>
    <row r="44" spans="1:16" ht="30" customHeight="1">
      <c r="A44" s="42"/>
      <c r="B44" s="42"/>
      <c r="C44" s="42"/>
      <c r="D44" s="42"/>
      <c r="E44" s="42"/>
      <c r="F44" s="42"/>
      <c r="G44" s="42"/>
      <c r="H44" s="42"/>
      <c r="I44" s="42"/>
      <c r="J44" s="42"/>
      <c r="K44" s="42"/>
      <c r="L44" s="42"/>
      <c r="M44" s="50"/>
      <c r="N44" s="42"/>
      <c r="O44" s="42"/>
      <c r="P44" s="42"/>
    </row>
    <row r="45" spans="1:16" ht="30" customHeight="1">
      <c r="A45" s="42"/>
      <c r="B45" s="42"/>
      <c r="C45" s="42"/>
      <c r="D45" s="42"/>
      <c r="E45" s="42"/>
      <c r="F45" s="42"/>
      <c r="G45" s="42"/>
      <c r="H45" s="42"/>
      <c r="I45" s="42"/>
      <c r="J45" s="42"/>
      <c r="K45" s="42"/>
      <c r="L45" s="42"/>
      <c r="M45" s="50"/>
      <c r="N45" s="42"/>
      <c r="O45" s="42"/>
      <c r="P45" s="42"/>
    </row>
    <row r="46" spans="1:16" ht="30" customHeight="1">
      <c r="A46" s="42"/>
      <c r="B46" s="42"/>
      <c r="C46" s="42"/>
      <c r="D46" s="42"/>
      <c r="E46" s="42"/>
      <c r="F46" s="42"/>
      <c r="G46" s="42"/>
      <c r="H46" s="42"/>
      <c r="I46" s="42"/>
      <c r="J46" s="42"/>
      <c r="K46" s="42"/>
      <c r="L46" s="42"/>
      <c r="M46" s="50"/>
      <c r="N46" s="42"/>
      <c r="O46" s="42"/>
      <c r="P46" s="42"/>
    </row>
    <row r="47" spans="1:16" ht="30" customHeight="1">
      <c r="A47" s="42"/>
      <c r="B47" s="42"/>
      <c r="C47" s="42"/>
      <c r="D47" s="42"/>
      <c r="E47" s="42"/>
      <c r="F47" s="42"/>
      <c r="G47" s="42"/>
      <c r="H47" s="42"/>
      <c r="I47" s="42"/>
      <c r="J47" s="42"/>
      <c r="K47" s="42"/>
      <c r="L47" s="42"/>
      <c r="M47" s="50"/>
      <c r="N47" s="42"/>
      <c r="O47" s="42"/>
      <c r="P47" s="42"/>
    </row>
    <row r="48" spans="1:16" ht="30" customHeight="1">
      <c r="A48" s="42"/>
      <c r="B48" s="42"/>
      <c r="C48" s="42"/>
      <c r="D48" s="42"/>
      <c r="E48" s="42"/>
      <c r="F48" s="42"/>
      <c r="G48" s="42"/>
      <c r="H48" s="42"/>
      <c r="I48" s="42"/>
      <c r="J48" s="42"/>
      <c r="K48" s="42"/>
      <c r="L48" s="42"/>
      <c r="M48" s="50"/>
      <c r="N48" s="42"/>
      <c r="O48" s="42"/>
      <c r="P48" s="42"/>
    </row>
    <row r="49" spans="1:16" ht="30" customHeight="1">
      <c r="A49" s="42"/>
      <c r="B49" s="42"/>
      <c r="C49" s="42"/>
      <c r="D49" s="42"/>
      <c r="E49" s="42"/>
      <c r="F49" s="42"/>
      <c r="G49" s="42"/>
      <c r="H49" s="42"/>
      <c r="I49" s="42"/>
      <c r="J49" s="42"/>
      <c r="K49" s="42"/>
      <c r="L49" s="42"/>
      <c r="M49" s="50"/>
      <c r="N49" s="42"/>
      <c r="O49" s="42"/>
      <c r="P49" s="42"/>
    </row>
    <row r="50" spans="1:16" ht="30" customHeight="1">
      <c r="A50" s="42"/>
      <c r="B50" s="42"/>
      <c r="C50" s="42"/>
      <c r="D50" s="42"/>
      <c r="E50" s="42"/>
      <c r="F50" s="42"/>
      <c r="G50" s="42"/>
      <c r="H50" s="42"/>
      <c r="I50" s="42"/>
      <c r="J50" s="42"/>
      <c r="K50" s="42"/>
      <c r="L50" s="42"/>
      <c r="M50" s="50"/>
      <c r="N50" s="42"/>
      <c r="O50" s="42"/>
      <c r="P50" s="42"/>
    </row>
    <row r="51" spans="1:16" ht="30" customHeight="1">
      <c r="A51" s="42"/>
      <c r="B51" s="42"/>
      <c r="C51" s="42"/>
      <c r="D51" s="42"/>
      <c r="E51" s="42"/>
      <c r="F51" s="42"/>
      <c r="G51" s="42"/>
      <c r="H51" s="42"/>
      <c r="I51" s="42"/>
      <c r="J51" s="42"/>
      <c r="K51" s="42"/>
      <c r="L51" s="42"/>
      <c r="M51" s="50"/>
      <c r="N51" s="42"/>
      <c r="O51" s="42"/>
      <c r="P51" s="42"/>
    </row>
    <row r="52" spans="1:16" ht="30" customHeight="1">
      <c r="A52" s="42"/>
      <c r="B52" s="42"/>
      <c r="C52" s="42"/>
      <c r="D52" s="42"/>
      <c r="E52" s="42"/>
      <c r="F52" s="42"/>
      <c r="G52" s="42"/>
      <c r="H52" s="42"/>
      <c r="I52" s="42"/>
      <c r="J52" s="42"/>
      <c r="K52" s="42"/>
      <c r="L52" s="42"/>
      <c r="M52" s="50"/>
      <c r="N52" s="42"/>
      <c r="O52" s="42"/>
      <c r="P52" s="42"/>
    </row>
    <row r="53" spans="1:16" ht="30" customHeight="1">
      <c r="A53" s="42"/>
      <c r="B53" s="42"/>
      <c r="C53" s="42"/>
      <c r="D53" s="42"/>
      <c r="E53" s="42"/>
      <c r="F53" s="42"/>
      <c r="G53" s="42"/>
      <c r="H53" s="42"/>
      <c r="I53" s="42"/>
      <c r="J53" s="42"/>
      <c r="K53" s="42"/>
      <c r="L53" s="42"/>
      <c r="M53" s="50"/>
      <c r="N53" s="42"/>
      <c r="O53" s="42"/>
      <c r="P53" s="42"/>
    </row>
    <row r="54" spans="1:16" ht="30" customHeight="1">
      <c r="A54" s="42"/>
      <c r="B54" s="42"/>
      <c r="C54" s="42"/>
      <c r="D54" s="42"/>
      <c r="E54" s="42"/>
      <c r="F54" s="42"/>
      <c r="G54" s="42"/>
      <c r="H54" s="42"/>
      <c r="I54" s="42"/>
      <c r="J54" s="42"/>
      <c r="K54" s="42"/>
      <c r="L54" s="42"/>
      <c r="M54" s="50"/>
      <c r="N54" s="42"/>
      <c r="O54" s="42"/>
      <c r="P54" s="42"/>
    </row>
    <row r="55" spans="1:16" ht="30" customHeight="1">
      <c r="A55" s="42"/>
      <c r="B55" s="42"/>
      <c r="C55" s="42"/>
      <c r="D55" s="42"/>
      <c r="E55" s="42"/>
      <c r="F55" s="42"/>
      <c r="G55" s="42"/>
      <c r="H55" s="42"/>
      <c r="I55" s="42"/>
      <c r="J55" s="42"/>
      <c r="K55" s="42"/>
      <c r="L55" s="42"/>
      <c r="M55" s="50"/>
      <c r="N55" s="42"/>
      <c r="O55" s="42"/>
      <c r="P55" s="42"/>
    </row>
    <row r="56" spans="1:16" ht="30" customHeight="1">
      <c r="A56" s="42"/>
      <c r="B56" s="42"/>
      <c r="C56" s="42"/>
      <c r="D56" s="42"/>
      <c r="E56" s="42"/>
      <c r="F56" s="42"/>
      <c r="G56" s="42"/>
      <c r="H56" s="42"/>
      <c r="I56" s="42"/>
      <c r="J56" s="42"/>
      <c r="K56" s="42"/>
      <c r="L56" s="42"/>
      <c r="M56" s="50"/>
      <c r="N56" s="42"/>
      <c r="O56" s="42"/>
      <c r="P56" s="42"/>
    </row>
    <row r="57" spans="1:16" ht="30" customHeight="1">
      <c r="A57" s="42"/>
      <c r="B57" s="42"/>
      <c r="C57" s="42"/>
      <c r="D57" s="42"/>
      <c r="E57" s="42"/>
      <c r="F57" s="42"/>
      <c r="G57" s="42"/>
      <c r="H57" s="42"/>
      <c r="I57" s="42"/>
      <c r="J57" s="42"/>
      <c r="K57" s="42"/>
      <c r="L57" s="42"/>
      <c r="M57" s="50"/>
      <c r="N57" s="42"/>
      <c r="O57" s="42"/>
      <c r="P57" s="42"/>
    </row>
    <row r="58" spans="1:16" ht="30" customHeight="1">
      <c r="A58" s="42"/>
      <c r="B58" s="42"/>
      <c r="C58" s="42"/>
      <c r="D58" s="42"/>
      <c r="E58" s="42"/>
      <c r="F58" s="42"/>
      <c r="G58" s="42"/>
      <c r="H58" s="42"/>
      <c r="I58" s="42"/>
      <c r="J58" s="42"/>
      <c r="K58" s="42"/>
      <c r="L58" s="42"/>
      <c r="M58" s="50"/>
      <c r="N58" s="42"/>
      <c r="O58" s="42"/>
      <c r="P58" s="42"/>
    </row>
    <row r="59" spans="1:16" ht="30" customHeight="1">
      <c r="A59" s="42"/>
      <c r="B59" s="42"/>
      <c r="C59" s="42"/>
      <c r="D59" s="42"/>
      <c r="E59" s="42"/>
      <c r="F59" s="42"/>
      <c r="G59" s="42"/>
      <c r="H59" s="42"/>
      <c r="I59" s="42"/>
      <c r="J59" s="42"/>
      <c r="K59" s="42"/>
      <c r="L59" s="42"/>
      <c r="M59" s="50"/>
      <c r="N59" s="42"/>
      <c r="O59" s="42"/>
      <c r="P59" s="42"/>
    </row>
    <row r="60" spans="1:16" ht="30" customHeight="1">
      <c r="A60" s="42"/>
      <c r="B60" s="42"/>
      <c r="C60" s="42"/>
      <c r="D60" s="42"/>
      <c r="E60" s="42"/>
      <c r="F60" s="42"/>
      <c r="G60" s="42"/>
      <c r="H60" s="42"/>
      <c r="I60" s="42"/>
      <c r="J60" s="42"/>
      <c r="K60" s="42"/>
      <c r="L60" s="42"/>
      <c r="M60" s="50"/>
      <c r="N60" s="42"/>
      <c r="O60" s="42"/>
      <c r="P60" s="42"/>
    </row>
    <row r="61" spans="1:16" ht="30" customHeight="1">
      <c r="A61" s="34"/>
      <c r="B61" s="34"/>
      <c r="C61" s="34"/>
      <c r="D61" s="34"/>
      <c r="E61" s="34"/>
      <c r="F61" s="34"/>
      <c r="G61" s="34"/>
      <c r="H61" s="34"/>
      <c r="I61" s="34"/>
      <c r="J61" s="34"/>
      <c r="K61" s="34"/>
      <c r="L61" s="34"/>
      <c r="M61" s="35"/>
      <c r="N61" s="34"/>
      <c r="O61" s="34"/>
      <c r="P61" s="34"/>
    </row>
    <row r="62" spans="1:16" ht="30" customHeight="1">
      <c r="A62" s="34"/>
      <c r="B62" s="34"/>
      <c r="C62" s="34"/>
      <c r="D62" s="34"/>
      <c r="E62" s="34"/>
      <c r="F62" s="34"/>
      <c r="G62" s="34"/>
      <c r="H62" s="34"/>
      <c r="I62" s="34"/>
      <c r="J62" s="34"/>
      <c r="K62" s="34"/>
      <c r="L62" s="34"/>
      <c r="M62" s="35"/>
      <c r="N62" s="34"/>
      <c r="O62" s="34"/>
      <c r="P62" s="34"/>
    </row>
    <row r="63" spans="1:16" ht="30" customHeight="1">
      <c r="A63" s="34"/>
      <c r="B63" s="34"/>
      <c r="C63" s="34"/>
      <c r="D63" s="34"/>
      <c r="E63" s="34"/>
      <c r="F63" s="34"/>
      <c r="G63" s="34"/>
      <c r="H63" s="34"/>
      <c r="I63" s="34"/>
      <c r="J63" s="34"/>
      <c r="K63" s="34"/>
      <c r="L63" s="34"/>
      <c r="M63" s="35"/>
      <c r="N63" s="34"/>
      <c r="O63" s="34"/>
      <c r="P63" s="34"/>
    </row>
    <row r="64" spans="1:16" ht="30" customHeight="1">
      <c r="A64" s="34"/>
      <c r="B64" s="34"/>
      <c r="C64" s="34"/>
      <c r="D64" s="34"/>
      <c r="E64" s="34"/>
      <c r="F64" s="34"/>
      <c r="G64" s="34"/>
      <c r="H64" s="34"/>
      <c r="I64" s="34"/>
      <c r="J64" s="34"/>
      <c r="K64" s="34"/>
      <c r="L64" s="34"/>
      <c r="M64" s="35"/>
      <c r="N64" s="34"/>
      <c r="O64" s="34"/>
      <c r="P64" s="34"/>
    </row>
    <row r="65" spans="1:16" ht="30" customHeight="1">
      <c r="A65" s="34"/>
      <c r="B65" s="34"/>
      <c r="C65" s="34"/>
      <c r="D65" s="34"/>
      <c r="E65" s="34"/>
      <c r="F65" s="34"/>
      <c r="G65" s="34"/>
      <c r="H65" s="34"/>
      <c r="I65" s="34"/>
      <c r="J65" s="34"/>
      <c r="K65" s="34"/>
      <c r="L65" s="34"/>
      <c r="M65" s="35"/>
      <c r="N65" s="34"/>
      <c r="O65" s="34"/>
      <c r="P65" s="34"/>
    </row>
    <row r="66" spans="1:16" ht="30" customHeight="1">
      <c r="A66" s="34"/>
      <c r="B66" s="34"/>
      <c r="C66" s="34"/>
      <c r="D66" s="34"/>
      <c r="E66" s="34"/>
      <c r="F66" s="34"/>
      <c r="G66" s="34"/>
      <c r="H66" s="34"/>
      <c r="I66" s="34"/>
      <c r="J66" s="34"/>
      <c r="K66" s="34"/>
      <c r="L66" s="34"/>
      <c r="M66" s="35"/>
      <c r="N66" s="34"/>
      <c r="O66" s="34"/>
      <c r="P66" s="34"/>
    </row>
    <row r="67" spans="1:16" ht="30" customHeight="1">
      <c r="A67" s="34"/>
      <c r="B67" s="34"/>
      <c r="C67" s="34"/>
      <c r="D67" s="34"/>
      <c r="E67" s="34"/>
      <c r="F67" s="34"/>
      <c r="G67" s="34"/>
      <c r="H67" s="34"/>
      <c r="I67" s="34"/>
      <c r="J67" s="34"/>
      <c r="K67" s="34"/>
      <c r="L67" s="34"/>
      <c r="M67" s="35"/>
      <c r="N67" s="34"/>
      <c r="O67" s="34"/>
      <c r="P67" s="34"/>
    </row>
    <row r="68" spans="1:16" ht="30" customHeight="1">
      <c r="A68" s="34"/>
      <c r="B68" s="34"/>
      <c r="C68" s="34"/>
      <c r="D68" s="34"/>
      <c r="E68" s="34"/>
      <c r="F68" s="34"/>
      <c r="G68" s="34"/>
      <c r="H68" s="34"/>
      <c r="I68" s="34"/>
      <c r="J68" s="34"/>
      <c r="K68" s="34"/>
      <c r="L68" s="34"/>
      <c r="M68" s="35"/>
      <c r="N68" s="34"/>
      <c r="O68" s="34"/>
      <c r="P68" s="34"/>
    </row>
    <row r="69" spans="1:16" ht="30" customHeight="1">
      <c r="A69" s="34"/>
      <c r="B69" s="34"/>
      <c r="C69" s="34"/>
      <c r="D69" s="34"/>
      <c r="E69" s="34"/>
      <c r="F69" s="34"/>
      <c r="G69" s="34"/>
      <c r="H69" s="34"/>
      <c r="I69" s="34"/>
      <c r="J69" s="34"/>
      <c r="K69" s="34"/>
      <c r="L69" s="34"/>
      <c r="M69" s="35"/>
      <c r="N69" s="34"/>
      <c r="O69" s="34"/>
      <c r="P69" s="34"/>
    </row>
    <row r="70" spans="1:16" ht="30" customHeight="1">
      <c r="A70" s="34"/>
      <c r="B70" s="34"/>
      <c r="C70" s="34"/>
      <c r="D70" s="34"/>
      <c r="E70" s="34"/>
      <c r="F70" s="34"/>
      <c r="G70" s="34"/>
      <c r="H70" s="34"/>
      <c r="I70" s="34"/>
      <c r="J70" s="34"/>
      <c r="K70" s="34"/>
      <c r="L70" s="34"/>
      <c r="M70" s="35"/>
      <c r="N70" s="34"/>
      <c r="O70" s="34"/>
      <c r="P70" s="34"/>
    </row>
    <row r="71" spans="1:16" ht="30" customHeight="1">
      <c r="A71" s="34"/>
      <c r="B71" s="34"/>
      <c r="C71" s="34"/>
      <c r="D71" s="34"/>
      <c r="E71" s="34"/>
      <c r="F71" s="34"/>
      <c r="G71" s="34"/>
      <c r="H71" s="34"/>
      <c r="I71" s="34"/>
      <c r="J71" s="34"/>
      <c r="K71" s="34"/>
      <c r="L71" s="34"/>
      <c r="M71" s="35"/>
      <c r="N71" s="34"/>
      <c r="O71" s="34"/>
      <c r="P71" s="34"/>
    </row>
    <row r="72" spans="1:16" ht="30" customHeight="1">
      <c r="A72" s="34"/>
      <c r="B72" s="34"/>
      <c r="C72" s="34"/>
      <c r="D72" s="34"/>
      <c r="E72" s="34"/>
      <c r="F72" s="34"/>
      <c r="G72" s="34"/>
      <c r="H72" s="34"/>
      <c r="I72" s="34"/>
      <c r="J72" s="34"/>
      <c r="K72" s="34"/>
      <c r="L72" s="34"/>
      <c r="M72" s="35"/>
      <c r="N72" s="34"/>
      <c r="O72" s="34"/>
      <c r="P72" s="34"/>
    </row>
    <row r="73" spans="1:16" ht="30" customHeight="1">
      <c r="A73" s="34"/>
      <c r="B73" s="34"/>
      <c r="C73" s="34"/>
      <c r="D73" s="34"/>
      <c r="E73" s="34"/>
      <c r="F73" s="34"/>
      <c r="G73" s="34"/>
      <c r="H73" s="34"/>
      <c r="I73" s="34"/>
      <c r="J73" s="34"/>
      <c r="K73" s="34"/>
      <c r="L73" s="34"/>
      <c r="M73" s="35"/>
      <c r="N73" s="34"/>
      <c r="O73" s="34"/>
      <c r="P73" s="34"/>
    </row>
    <row r="74" spans="1:16" ht="30" customHeight="1">
      <c r="A74" s="34"/>
      <c r="B74" s="34"/>
      <c r="C74" s="34"/>
      <c r="D74" s="34"/>
      <c r="E74" s="34"/>
      <c r="F74" s="34"/>
      <c r="G74" s="34"/>
      <c r="H74" s="34"/>
      <c r="I74" s="34"/>
      <c r="J74" s="34"/>
      <c r="K74" s="34"/>
      <c r="L74" s="34"/>
      <c r="M74" s="35"/>
      <c r="N74" s="34"/>
      <c r="O74" s="34"/>
      <c r="P74" s="34"/>
    </row>
    <row r="75" spans="1:16" ht="30" customHeight="1">
      <c r="A75" s="34"/>
      <c r="B75" s="34"/>
      <c r="C75" s="34"/>
      <c r="D75" s="34"/>
      <c r="E75" s="34"/>
      <c r="F75" s="34"/>
      <c r="G75" s="34"/>
      <c r="H75" s="34"/>
      <c r="I75" s="34"/>
      <c r="J75" s="34"/>
      <c r="K75" s="34"/>
      <c r="L75" s="34"/>
      <c r="M75" s="35"/>
      <c r="N75" s="34"/>
      <c r="O75" s="34"/>
      <c r="P75" s="34"/>
    </row>
    <row r="76" spans="1:16" ht="30" customHeight="1">
      <c r="A76" s="34"/>
      <c r="B76" s="34"/>
      <c r="C76" s="34"/>
      <c r="D76" s="34"/>
      <c r="E76" s="34"/>
      <c r="F76" s="34"/>
      <c r="G76" s="34"/>
      <c r="H76" s="34"/>
      <c r="I76" s="34"/>
      <c r="J76" s="34"/>
      <c r="K76" s="34"/>
      <c r="L76" s="34"/>
      <c r="M76" s="35"/>
      <c r="N76" s="34"/>
      <c r="O76" s="34"/>
      <c r="P76" s="34"/>
    </row>
    <row r="77" spans="1:16" ht="30" customHeight="1">
      <c r="A77" s="34"/>
      <c r="B77" s="34"/>
      <c r="C77" s="34"/>
      <c r="D77" s="34"/>
      <c r="E77" s="34"/>
      <c r="F77" s="34"/>
      <c r="G77" s="34"/>
      <c r="H77" s="34"/>
      <c r="I77" s="34"/>
      <c r="J77" s="34"/>
      <c r="K77" s="34"/>
      <c r="L77" s="34"/>
      <c r="M77" s="35"/>
      <c r="N77" s="34"/>
      <c r="O77" s="34"/>
      <c r="P77" s="34"/>
    </row>
    <row r="78" spans="1:16" ht="30" customHeight="1">
      <c r="A78" s="34"/>
      <c r="B78" s="34"/>
      <c r="C78" s="34"/>
      <c r="D78" s="34"/>
      <c r="E78" s="34"/>
      <c r="F78" s="34"/>
      <c r="G78" s="34"/>
      <c r="H78" s="34"/>
      <c r="I78" s="34"/>
      <c r="J78" s="34"/>
      <c r="K78" s="34"/>
      <c r="L78" s="34"/>
      <c r="M78" s="35"/>
      <c r="N78" s="34"/>
      <c r="O78" s="34"/>
      <c r="P78" s="34"/>
    </row>
    <row r="79" spans="1:16" ht="30" customHeight="1">
      <c r="A79" s="34"/>
      <c r="B79" s="34"/>
      <c r="C79" s="34"/>
      <c r="D79" s="34"/>
      <c r="E79" s="34"/>
      <c r="F79" s="34"/>
      <c r="G79" s="34"/>
      <c r="H79" s="34"/>
      <c r="I79" s="34"/>
      <c r="J79" s="34"/>
      <c r="K79" s="34"/>
      <c r="L79" s="34"/>
      <c r="M79" s="35"/>
      <c r="N79" s="34"/>
      <c r="O79" s="34"/>
      <c r="P79" s="34"/>
    </row>
    <row r="80" spans="1:16" ht="30" customHeight="1">
      <c r="A80" s="34"/>
      <c r="B80" s="34"/>
      <c r="C80" s="34"/>
      <c r="D80" s="34"/>
      <c r="E80" s="34"/>
      <c r="F80" s="34"/>
      <c r="G80" s="34"/>
      <c r="H80" s="34"/>
      <c r="I80" s="34"/>
      <c r="J80" s="34"/>
      <c r="K80" s="34"/>
      <c r="L80" s="34"/>
      <c r="M80" s="35"/>
      <c r="N80" s="34"/>
      <c r="O80" s="34"/>
      <c r="P80" s="34"/>
    </row>
    <row r="81" spans="1:16" ht="30" customHeight="1">
      <c r="A81" s="34"/>
      <c r="B81" s="34"/>
      <c r="C81" s="34"/>
      <c r="D81" s="34"/>
      <c r="E81" s="34"/>
      <c r="F81" s="34"/>
      <c r="G81" s="34"/>
      <c r="H81" s="34"/>
      <c r="I81" s="34"/>
      <c r="J81" s="34"/>
      <c r="K81" s="34"/>
      <c r="L81" s="34"/>
      <c r="M81" s="35"/>
      <c r="N81" s="34"/>
      <c r="O81" s="34"/>
      <c r="P81" s="34"/>
    </row>
    <row r="82" spans="1:16" ht="30" customHeight="1">
      <c r="A82" s="34"/>
      <c r="B82" s="34"/>
      <c r="C82" s="34"/>
      <c r="D82" s="34"/>
      <c r="E82" s="34"/>
      <c r="F82" s="34"/>
      <c r="G82" s="34"/>
      <c r="H82" s="34"/>
      <c r="I82" s="34"/>
      <c r="J82" s="34"/>
      <c r="K82" s="34"/>
      <c r="L82" s="34"/>
      <c r="M82" s="35"/>
      <c r="N82" s="34"/>
      <c r="O82" s="34"/>
      <c r="P82" s="34"/>
    </row>
    <row r="83" spans="1:16" ht="30" customHeight="1">
      <c r="A83" s="34"/>
      <c r="B83" s="34"/>
      <c r="C83" s="34"/>
      <c r="D83" s="34"/>
      <c r="E83" s="34"/>
      <c r="F83" s="34"/>
      <c r="G83" s="34"/>
      <c r="H83" s="34"/>
      <c r="I83" s="34"/>
      <c r="J83" s="34"/>
      <c r="K83" s="34"/>
      <c r="L83" s="34"/>
      <c r="M83" s="35"/>
      <c r="N83" s="34"/>
      <c r="O83" s="34"/>
      <c r="P83" s="34"/>
    </row>
    <row r="84" spans="1:16" ht="30" customHeight="1">
      <c r="A84" s="34"/>
      <c r="B84" s="34"/>
      <c r="C84" s="34"/>
      <c r="D84" s="34"/>
      <c r="E84" s="34"/>
      <c r="F84" s="34"/>
      <c r="G84" s="34"/>
      <c r="H84" s="34"/>
      <c r="I84" s="34"/>
      <c r="J84" s="34"/>
      <c r="K84" s="34"/>
      <c r="L84" s="34"/>
      <c r="M84" s="35"/>
      <c r="N84" s="34"/>
      <c r="O84" s="34"/>
      <c r="P84" s="34"/>
    </row>
    <row r="85" spans="1:16" ht="30" customHeight="1">
      <c r="A85" s="34"/>
      <c r="B85" s="34"/>
      <c r="C85" s="34"/>
      <c r="D85" s="34"/>
      <c r="E85" s="34"/>
      <c r="F85" s="34"/>
      <c r="G85" s="34"/>
      <c r="H85" s="34"/>
      <c r="I85" s="34"/>
      <c r="J85" s="34"/>
      <c r="K85" s="34"/>
      <c r="L85" s="34"/>
      <c r="M85" s="35"/>
      <c r="N85" s="34"/>
      <c r="O85" s="34"/>
      <c r="P85" s="34"/>
    </row>
    <row r="86" spans="1:16" ht="30" customHeight="1">
      <c r="A86" s="34"/>
      <c r="B86" s="34"/>
      <c r="C86" s="34"/>
      <c r="D86" s="34"/>
      <c r="E86" s="34"/>
      <c r="F86" s="34"/>
      <c r="G86" s="34"/>
      <c r="H86" s="34"/>
      <c r="I86" s="34"/>
      <c r="J86" s="34"/>
      <c r="K86" s="34"/>
      <c r="L86" s="34"/>
      <c r="M86" s="35"/>
      <c r="N86" s="34"/>
      <c r="O86" s="34"/>
      <c r="P86" s="34"/>
    </row>
    <row r="87" spans="1:16" ht="30" customHeight="1">
      <c r="A87" s="34"/>
      <c r="B87" s="34"/>
      <c r="C87" s="34"/>
      <c r="D87" s="34"/>
      <c r="E87" s="34"/>
      <c r="F87" s="34"/>
      <c r="G87" s="34"/>
      <c r="H87" s="34"/>
      <c r="I87" s="34"/>
      <c r="J87" s="34"/>
      <c r="K87" s="34"/>
      <c r="L87" s="34"/>
      <c r="M87" s="35"/>
      <c r="N87" s="34"/>
      <c r="O87" s="34"/>
      <c r="P87" s="34"/>
    </row>
    <row r="88" spans="1:16" ht="30" customHeight="1">
      <c r="A88" s="34"/>
      <c r="B88" s="34"/>
      <c r="C88" s="34"/>
      <c r="D88" s="34"/>
      <c r="E88" s="34"/>
      <c r="F88" s="34"/>
      <c r="G88" s="34"/>
      <c r="H88" s="34"/>
      <c r="I88" s="34"/>
      <c r="J88" s="34"/>
      <c r="K88" s="34"/>
      <c r="L88" s="34"/>
      <c r="M88" s="35"/>
      <c r="N88" s="34"/>
      <c r="O88" s="34"/>
      <c r="P88" s="34"/>
    </row>
    <row r="89" spans="1:16" ht="30" customHeight="1">
      <c r="A89" s="34"/>
      <c r="B89" s="34"/>
      <c r="C89" s="34"/>
      <c r="D89" s="34"/>
      <c r="E89" s="34"/>
      <c r="F89" s="34"/>
      <c r="G89" s="34"/>
      <c r="H89" s="34"/>
      <c r="I89" s="34"/>
      <c r="J89" s="34"/>
      <c r="K89" s="34"/>
      <c r="L89" s="34"/>
      <c r="M89" s="35"/>
      <c r="N89" s="34"/>
      <c r="O89" s="34"/>
      <c r="P89" s="34"/>
    </row>
    <row r="90" spans="1:16" ht="30" customHeight="1">
      <c r="A90" s="34"/>
      <c r="B90" s="34"/>
      <c r="C90" s="34"/>
      <c r="D90" s="34"/>
      <c r="E90" s="34"/>
      <c r="F90" s="34"/>
      <c r="G90" s="34"/>
      <c r="H90" s="34"/>
      <c r="I90" s="34"/>
      <c r="J90" s="34"/>
      <c r="K90" s="34"/>
      <c r="L90" s="34"/>
      <c r="M90" s="35"/>
      <c r="N90" s="34"/>
      <c r="O90" s="34"/>
      <c r="P90" s="34"/>
    </row>
    <row r="91" spans="1:16" ht="30" customHeight="1">
      <c r="A91" s="34"/>
      <c r="B91" s="34"/>
      <c r="C91" s="34"/>
      <c r="D91" s="34"/>
      <c r="E91" s="34"/>
      <c r="F91" s="34"/>
      <c r="G91" s="34"/>
      <c r="H91" s="34"/>
      <c r="I91" s="34"/>
      <c r="J91" s="34"/>
      <c r="K91" s="34"/>
      <c r="L91" s="34"/>
      <c r="M91" s="35"/>
      <c r="N91" s="34"/>
      <c r="O91" s="34"/>
      <c r="P91" s="34"/>
    </row>
    <row r="92" spans="1:16" ht="30" customHeight="1">
      <c r="A92" s="34"/>
      <c r="B92" s="34"/>
      <c r="C92" s="34"/>
      <c r="D92" s="34"/>
      <c r="E92" s="34"/>
      <c r="F92" s="34"/>
      <c r="G92" s="34"/>
      <c r="H92" s="34"/>
      <c r="I92" s="34"/>
      <c r="J92" s="34"/>
      <c r="K92" s="34"/>
      <c r="L92" s="34"/>
      <c r="M92" s="35"/>
      <c r="N92" s="34"/>
      <c r="O92" s="34"/>
      <c r="P92" s="34"/>
    </row>
    <row r="93" spans="1:16" ht="30" customHeight="1">
      <c r="A93" s="34"/>
      <c r="B93" s="34"/>
      <c r="C93" s="34"/>
      <c r="D93" s="34"/>
      <c r="E93" s="34"/>
      <c r="F93" s="34"/>
      <c r="G93" s="34"/>
      <c r="H93" s="34"/>
      <c r="I93" s="34"/>
      <c r="J93" s="34"/>
      <c r="K93" s="34"/>
      <c r="L93" s="34"/>
      <c r="M93" s="35"/>
      <c r="N93" s="34"/>
      <c r="O93" s="34"/>
      <c r="P93" s="34"/>
    </row>
    <row r="94" spans="1:16" ht="30" customHeight="1">
      <c r="A94" s="34"/>
      <c r="B94" s="34"/>
      <c r="C94" s="34"/>
      <c r="D94" s="34"/>
      <c r="E94" s="34"/>
      <c r="F94" s="34"/>
      <c r="G94" s="34"/>
      <c r="H94" s="34"/>
      <c r="I94" s="34"/>
      <c r="J94" s="34"/>
      <c r="K94" s="34"/>
      <c r="L94" s="34"/>
      <c r="M94" s="35"/>
      <c r="N94" s="34"/>
      <c r="O94" s="34"/>
      <c r="P94" s="34"/>
    </row>
    <row r="95" spans="1:16" ht="30" customHeight="1">
      <c r="A95" s="34"/>
      <c r="B95" s="34"/>
      <c r="C95" s="34"/>
      <c r="D95" s="34"/>
      <c r="E95" s="34"/>
      <c r="F95" s="34"/>
      <c r="G95" s="34"/>
      <c r="H95" s="34"/>
      <c r="I95" s="34"/>
      <c r="J95" s="34"/>
      <c r="K95" s="34"/>
      <c r="L95" s="34"/>
      <c r="M95" s="35"/>
      <c r="N95" s="34"/>
      <c r="O95" s="34"/>
      <c r="P95" s="34"/>
    </row>
    <row r="96" spans="1:16" ht="30" customHeight="1">
      <c r="A96" s="34"/>
      <c r="B96" s="34"/>
      <c r="C96" s="34"/>
      <c r="D96" s="34"/>
      <c r="E96" s="34"/>
      <c r="F96" s="34"/>
      <c r="G96" s="34"/>
      <c r="H96" s="34"/>
      <c r="I96" s="34"/>
      <c r="J96" s="34"/>
      <c r="K96" s="34"/>
      <c r="L96" s="34"/>
      <c r="M96" s="35"/>
      <c r="N96" s="34"/>
      <c r="O96" s="34"/>
      <c r="P96" s="34"/>
    </row>
    <row r="97" spans="1:16" ht="30" customHeight="1">
      <c r="A97" s="34"/>
      <c r="B97" s="34"/>
      <c r="C97" s="34"/>
      <c r="D97" s="34"/>
      <c r="E97" s="34"/>
      <c r="F97" s="34"/>
      <c r="G97" s="34"/>
      <c r="H97" s="34"/>
      <c r="I97" s="34"/>
      <c r="J97" s="34"/>
      <c r="K97" s="34"/>
      <c r="L97" s="34"/>
      <c r="M97" s="35"/>
      <c r="N97" s="34"/>
      <c r="O97" s="34"/>
      <c r="P97" s="34"/>
    </row>
    <row r="98" spans="1:16" ht="30" customHeight="1">
      <c r="A98" s="34"/>
      <c r="B98" s="34"/>
      <c r="C98" s="34"/>
      <c r="D98" s="34"/>
      <c r="E98" s="34"/>
      <c r="F98" s="34"/>
      <c r="G98" s="34"/>
      <c r="H98" s="34"/>
      <c r="I98" s="34"/>
      <c r="J98" s="34"/>
      <c r="K98" s="34"/>
      <c r="L98" s="34"/>
      <c r="M98" s="35"/>
      <c r="N98" s="34"/>
      <c r="O98" s="34"/>
      <c r="P98" s="34"/>
    </row>
    <row r="99" spans="1:16" ht="30" customHeight="1">
      <c r="A99" s="34"/>
      <c r="B99" s="34"/>
      <c r="C99" s="34"/>
      <c r="D99" s="34"/>
      <c r="E99" s="34"/>
      <c r="F99" s="34"/>
      <c r="G99" s="34"/>
      <c r="H99" s="34"/>
      <c r="I99" s="34"/>
      <c r="J99" s="34"/>
      <c r="K99" s="34"/>
      <c r="L99" s="34"/>
      <c r="M99" s="35"/>
      <c r="N99" s="34"/>
      <c r="O99" s="34"/>
      <c r="P99" s="34"/>
    </row>
    <row r="100" spans="1:16" ht="30" customHeight="1">
      <c r="A100" s="34"/>
      <c r="B100" s="34"/>
      <c r="C100" s="34"/>
      <c r="D100" s="34"/>
      <c r="E100" s="34"/>
      <c r="F100" s="34"/>
      <c r="G100" s="34"/>
      <c r="H100" s="34"/>
      <c r="I100" s="34"/>
      <c r="J100" s="34"/>
      <c r="K100" s="34"/>
      <c r="L100" s="34"/>
      <c r="M100" s="35"/>
      <c r="N100" s="34"/>
      <c r="O100" s="34"/>
      <c r="P100" s="34"/>
    </row>
    <row r="101" spans="1:16" ht="30" customHeight="1">
      <c r="A101" s="34"/>
      <c r="B101" s="34"/>
      <c r="C101" s="34"/>
      <c r="D101" s="34"/>
      <c r="E101" s="34"/>
      <c r="F101" s="34"/>
      <c r="G101" s="34"/>
      <c r="H101" s="34"/>
      <c r="I101" s="34"/>
      <c r="J101" s="34"/>
      <c r="K101" s="34"/>
      <c r="L101" s="34"/>
      <c r="M101" s="35"/>
      <c r="N101" s="34"/>
      <c r="O101" s="34"/>
      <c r="P101" s="34"/>
    </row>
    <row r="102" spans="1:16" ht="30" customHeight="1">
      <c r="A102" s="34"/>
      <c r="B102" s="34"/>
      <c r="C102" s="34"/>
      <c r="D102" s="34"/>
      <c r="E102" s="34"/>
      <c r="F102" s="34"/>
      <c r="G102" s="34"/>
      <c r="H102" s="34"/>
      <c r="I102" s="34"/>
      <c r="J102" s="34"/>
      <c r="K102" s="34"/>
      <c r="L102" s="34"/>
      <c r="M102" s="35"/>
      <c r="N102" s="34"/>
      <c r="O102" s="34"/>
      <c r="P102" s="34"/>
    </row>
    <row r="103" spans="1:16" ht="30" customHeight="1">
      <c r="A103" s="34"/>
      <c r="B103" s="34"/>
      <c r="C103" s="34"/>
      <c r="D103" s="34"/>
      <c r="E103" s="34"/>
      <c r="F103" s="34"/>
      <c r="G103" s="34"/>
      <c r="H103" s="34"/>
      <c r="I103" s="34"/>
      <c r="J103" s="34"/>
      <c r="K103" s="34"/>
      <c r="L103" s="34"/>
      <c r="M103" s="35"/>
      <c r="N103" s="34"/>
      <c r="O103" s="34"/>
      <c r="P103" s="34"/>
    </row>
    <row r="104" spans="1:16" ht="30" customHeight="1">
      <c r="A104" s="34"/>
      <c r="B104" s="34"/>
      <c r="C104" s="34"/>
      <c r="D104" s="34"/>
      <c r="E104" s="34"/>
      <c r="F104" s="34"/>
      <c r="G104" s="34"/>
      <c r="H104" s="34"/>
      <c r="I104" s="34"/>
      <c r="J104" s="34"/>
      <c r="K104" s="34"/>
      <c r="L104" s="34"/>
      <c r="M104" s="35"/>
      <c r="N104" s="34"/>
      <c r="O104" s="34"/>
      <c r="P104" s="34"/>
    </row>
    <row r="105" spans="1:16" ht="30" customHeight="1">
      <c r="A105" s="34"/>
      <c r="B105" s="34"/>
      <c r="C105" s="34"/>
      <c r="D105" s="34"/>
      <c r="E105" s="34"/>
      <c r="F105" s="34"/>
      <c r="G105" s="34"/>
      <c r="H105" s="34"/>
      <c r="I105" s="34"/>
      <c r="J105" s="34"/>
      <c r="K105" s="34"/>
      <c r="L105" s="34"/>
      <c r="M105" s="35"/>
      <c r="N105" s="34"/>
      <c r="O105" s="34"/>
      <c r="P105" s="34"/>
    </row>
    <row r="106" spans="1:16" ht="30" customHeight="1">
      <c r="A106" s="34"/>
      <c r="B106" s="34"/>
      <c r="C106" s="34"/>
      <c r="D106" s="34"/>
      <c r="E106" s="34"/>
      <c r="F106" s="34"/>
      <c r="G106" s="34"/>
      <c r="H106" s="34"/>
      <c r="I106" s="34"/>
      <c r="J106" s="34"/>
      <c r="K106" s="34"/>
      <c r="L106" s="34"/>
      <c r="M106" s="35"/>
      <c r="N106" s="34"/>
      <c r="O106" s="34"/>
      <c r="P106" s="34"/>
    </row>
    <row r="107" spans="1:16" ht="30" customHeight="1">
      <c r="A107" s="34"/>
      <c r="B107" s="34"/>
      <c r="C107" s="34"/>
      <c r="D107" s="34"/>
      <c r="E107" s="34"/>
      <c r="F107" s="34"/>
      <c r="G107" s="34"/>
      <c r="H107" s="34"/>
      <c r="I107" s="34"/>
      <c r="J107" s="34"/>
      <c r="K107" s="34"/>
      <c r="L107" s="34"/>
      <c r="M107" s="35"/>
      <c r="N107" s="34"/>
      <c r="O107" s="34"/>
      <c r="P107" s="34"/>
    </row>
    <row r="108" spans="1:16" ht="30" customHeight="1">
      <c r="A108" s="34"/>
      <c r="B108" s="34"/>
      <c r="C108" s="34"/>
      <c r="D108" s="34"/>
      <c r="E108" s="34"/>
      <c r="F108" s="34"/>
      <c r="G108" s="34"/>
      <c r="H108" s="34"/>
      <c r="I108" s="34"/>
      <c r="J108" s="34"/>
      <c r="K108" s="34"/>
      <c r="L108" s="34"/>
      <c r="M108" s="35"/>
      <c r="N108" s="34"/>
      <c r="O108" s="34"/>
      <c r="P108" s="34"/>
    </row>
    <row r="109" spans="1:16" ht="30" customHeight="1">
      <c r="A109" s="34"/>
      <c r="B109" s="34"/>
      <c r="C109" s="34"/>
      <c r="D109" s="34"/>
      <c r="E109" s="34"/>
      <c r="F109" s="34"/>
      <c r="G109" s="34"/>
      <c r="H109" s="34"/>
      <c r="I109" s="34"/>
      <c r="J109" s="34"/>
      <c r="K109" s="34"/>
      <c r="L109" s="34"/>
      <c r="M109" s="35"/>
      <c r="N109" s="34"/>
      <c r="O109" s="34"/>
      <c r="P109" s="34"/>
    </row>
    <row r="110" spans="1:16" ht="30" customHeight="1">
      <c r="A110" s="34"/>
      <c r="B110" s="34"/>
      <c r="C110" s="34"/>
      <c r="D110" s="34"/>
      <c r="E110" s="34"/>
      <c r="F110" s="34"/>
      <c r="G110" s="34"/>
      <c r="H110" s="34"/>
      <c r="I110" s="34"/>
      <c r="J110" s="34"/>
      <c r="K110" s="34"/>
      <c r="L110" s="34"/>
      <c r="M110" s="35"/>
      <c r="N110" s="34"/>
      <c r="O110" s="34"/>
      <c r="P110" s="34"/>
    </row>
    <row r="111" spans="1:16" ht="30" customHeight="1">
      <c r="A111" s="34"/>
      <c r="B111" s="34"/>
      <c r="C111" s="34"/>
      <c r="D111" s="34"/>
      <c r="E111" s="34"/>
      <c r="F111" s="34"/>
      <c r="G111" s="34"/>
      <c r="H111" s="34"/>
      <c r="I111" s="34"/>
      <c r="J111" s="34"/>
      <c r="K111" s="34"/>
      <c r="L111" s="34"/>
      <c r="M111" s="35"/>
      <c r="N111" s="34"/>
      <c r="O111" s="34"/>
      <c r="P111" s="34"/>
    </row>
    <row r="112" spans="1:16" ht="30" customHeight="1">
      <c r="A112" s="34"/>
      <c r="B112" s="34"/>
      <c r="C112" s="34"/>
      <c r="D112" s="34"/>
      <c r="E112" s="34"/>
      <c r="F112" s="34"/>
      <c r="G112" s="34"/>
      <c r="H112" s="34"/>
      <c r="I112" s="34"/>
      <c r="J112" s="34"/>
      <c r="K112" s="34"/>
      <c r="L112" s="34"/>
      <c r="M112" s="35"/>
      <c r="N112" s="34"/>
      <c r="O112" s="34"/>
      <c r="P112" s="34"/>
    </row>
    <row r="113" spans="1:16" ht="30" customHeight="1">
      <c r="A113" s="34"/>
      <c r="B113" s="34"/>
      <c r="C113" s="34"/>
      <c r="D113" s="34"/>
      <c r="E113" s="34"/>
      <c r="F113" s="34"/>
      <c r="G113" s="34"/>
      <c r="H113" s="34"/>
      <c r="I113" s="34"/>
      <c r="J113" s="34"/>
      <c r="K113" s="34"/>
      <c r="L113" s="34"/>
      <c r="M113" s="35"/>
      <c r="N113" s="34"/>
      <c r="O113" s="34"/>
      <c r="P113" s="34"/>
    </row>
    <row r="114" spans="1:16" ht="30" customHeight="1">
      <c r="A114" s="34"/>
      <c r="B114" s="34"/>
      <c r="C114" s="34"/>
      <c r="D114" s="34"/>
      <c r="E114" s="34"/>
      <c r="F114" s="34"/>
      <c r="G114" s="34"/>
      <c r="H114" s="34"/>
      <c r="I114" s="34"/>
      <c r="J114" s="34"/>
      <c r="K114" s="34"/>
      <c r="L114" s="34"/>
      <c r="M114" s="35"/>
      <c r="N114" s="34"/>
      <c r="O114" s="34"/>
      <c r="P114" s="34"/>
    </row>
    <row r="115" spans="1:16" ht="30" customHeight="1">
      <c r="A115" s="34"/>
      <c r="B115" s="34"/>
      <c r="C115" s="34"/>
      <c r="D115" s="34"/>
      <c r="E115" s="34"/>
      <c r="F115" s="34"/>
      <c r="G115" s="34"/>
      <c r="H115" s="34"/>
      <c r="I115" s="34"/>
      <c r="J115" s="34"/>
      <c r="K115" s="34"/>
      <c r="L115" s="34"/>
      <c r="M115" s="35"/>
      <c r="N115" s="34"/>
      <c r="O115" s="34"/>
      <c r="P115" s="34"/>
    </row>
    <row r="116" spans="1:16" ht="30" customHeight="1">
      <c r="A116" s="34"/>
      <c r="B116" s="34"/>
      <c r="C116" s="34"/>
      <c r="D116" s="34"/>
      <c r="E116" s="34"/>
      <c r="F116" s="34"/>
      <c r="G116" s="34"/>
      <c r="H116" s="34"/>
      <c r="I116" s="34"/>
      <c r="J116" s="34"/>
      <c r="K116" s="34"/>
      <c r="L116" s="34"/>
      <c r="M116" s="35"/>
      <c r="N116" s="34"/>
      <c r="O116" s="34"/>
      <c r="P116" s="34"/>
    </row>
    <row r="117" spans="1:16" ht="30" customHeight="1">
      <c r="A117" s="34"/>
      <c r="B117" s="34"/>
      <c r="C117" s="34"/>
      <c r="D117" s="34"/>
      <c r="E117" s="34"/>
      <c r="F117" s="34"/>
      <c r="G117" s="34"/>
      <c r="H117" s="34"/>
      <c r="I117" s="34"/>
      <c r="J117" s="34"/>
      <c r="K117" s="34"/>
      <c r="L117" s="34"/>
      <c r="M117" s="35"/>
      <c r="N117" s="34"/>
      <c r="O117" s="34"/>
      <c r="P117" s="34"/>
    </row>
    <row r="118" spans="1:16" ht="30" customHeight="1">
      <c r="A118" s="34"/>
      <c r="B118" s="34"/>
      <c r="C118" s="34"/>
      <c r="D118" s="34"/>
      <c r="E118" s="34"/>
      <c r="F118" s="34"/>
      <c r="G118" s="34"/>
      <c r="H118" s="34"/>
      <c r="I118" s="34"/>
      <c r="J118" s="34"/>
      <c r="K118" s="34"/>
      <c r="L118" s="34"/>
      <c r="M118" s="35"/>
      <c r="N118" s="34"/>
      <c r="O118" s="34"/>
      <c r="P118" s="34"/>
    </row>
    <row r="119" spans="1:16" ht="30" customHeight="1">
      <c r="A119" s="34"/>
      <c r="B119" s="34"/>
      <c r="C119" s="34"/>
      <c r="D119" s="34"/>
      <c r="E119" s="34"/>
      <c r="F119" s="34"/>
      <c r="G119" s="34"/>
      <c r="H119" s="34"/>
      <c r="I119" s="34"/>
      <c r="J119" s="34"/>
      <c r="K119" s="34"/>
      <c r="L119" s="34"/>
      <c r="M119" s="35"/>
      <c r="N119" s="34"/>
      <c r="O119" s="34"/>
      <c r="P119" s="34"/>
    </row>
    <row r="120" spans="1:16" ht="30" customHeight="1">
      <c r="A120" s="34"/>
      <c r="B120" s="34"/>
      <c r="C120" s="34"/>
      <c r="D120" s="34"/>
      <c r="E120" s="34"/>
      <c r="F120" s="34"/>
      <c r="G120" s="34"/>
      <c r="H120" s="34"/>
      <c r="I120" s="34"/>
      <c r="J120" s="34"/>
      <c r="K120" s="34"/>
      <c r="L120" s="34"/>
      <c r="M120" s="35"/>
      <c r="N120" s="34"/>
      <c r="O120" s="34"/>
      <c r="P120" s="34"/>
    </row>
    <row r="121" spans="1:16" ht="30" customHeight="1">
      <c r="A121" s="34"/>
      <c r="B121" s="34"/>
      <c r="C121" s="34"/>
      <c r="D121" s="34"/>
      <c r="E121" s="34"/>
      <c r="F121" s="34"/>
      <c r="G121" s="34"/>
      <c r="H121" s="34"/>
      <c r="I121" s="34"/>
      <c r="J121" s="34"/>
      <c r="K121" s="34"/>
      <c r="L121" s="34"/>
      <c r="M121" s="35"/>
      <c r="N121" s="34"/>
      <c r="O121" s="34"/>
      <c r="P121" s="34"/>
    </row>
    <row r="122" spans="1:16" ht="30" customHeight="1">
      <c r="A122" s="34"/>
      <c r="B122" s="34"/>
      <c r="C122" s="34"/>
      <c r="D122" s="34"/>
      <c r="E122" s="34"/>
      <c r="F122" s="34"/>
      <c r="G122" s="34"/>
      <c r="H122" s="34"/>
      <c r="I122" s="34"/>
      <c r="J122" s="34"/>
      <c r="K122" s="34"/>
      <c r="L122" s="34"/>
      <c r="M122" s="35"/>
      <c r="N122" s="34"/>
      <c r="O122" s="34"/>
      <c r="P122" s="34"/>
    </row>
    <row r="123" spans="1:16" ht="30" customHeight="1">
      <c r="A123" s="34"/>
      <c r="B123" s="34"/>
      <c r="C123" s="34"/>
      <c r="D123" s="34"/>
      <c r="E123" s="34"/>
      <c r="F123" s="34"/>
      <c r="G123" s="34"/>
      <c r="H123" s="34"/>
      <c r="I123" s="34"/>
      <c r="J123" s="34"/>
      <c r="K123" s="34"/>
      <c r="L123" s="34"/>
      <c r="M123" s="35"/>
      <c r="N123" s="34"/>
      <c r="O123" s="34"/>
      <c r="P123" s="34"/>
    </row>
    <row r="124" spans="1:16" ht="30" customHeight="1">
      <c r="A124" s="34"/>
      <c r="B124" s="34"/>
      <c r="C124" s="34"/>
      <c r="D124" s="34"/>
      <c r="E124" s="34"/>
      <c r="F124" s="34"/>
      <c r="G124" s="34"/>
      <c r="H124" s="34"/>
      <c r="I124" s="34"/>
      <c r="J124" s="34"/>
      <c r="K124" s="34"/>
      <c r="L124" s="34"/>
      <c r="M124" s="35"/>
      <c r="N124" s="34"/>
      <c r="O124" s="34"/>
      <c r="P124" s="34"/>
    </row>
    <row r="125" spans="1:16" ht="30" customHeight="1">
      <c r="A125" s="34"/>
      <c r="B125" s="34"/>
      <c r="C125" s="34"/>
      <c r="D125" s="34"/>
      <c r="E125" s="34"/>
      <c r="F125" s="34"/>
      <c r="G125" s="34"/>
      <c r="H125" s="34"/>
      <c r="I125" s="34"/>
      <c r="J125" s="34"/>
      <c r="K125" s="34"/>
      <c r="L125" s="34"/>
      <c r="M125" s="35"/>
      <c r="N125" s="34"/>
      <c r="O125" s="34"/>
      <c r="P125" s="34"/>
    </row>
    <row r="126" spans="1:16" ht="30" customHeight="1">
      <c r="A126" s="34"/>
      <c r="B126" s="34"/>
      <c r="C126" s="34"/>
      <c r="D126" s="34"/>
      <c r="E126" s="34"/>
      <c r="F126" s="34"/>
      <c r="G126" s="34"/>
      <c r="H126" s="34"/>
      <c r="I126" s="34"/>
      <c r="J126" s="34"/>
      <c r="K126" s="34"/>
      <c r="L126" s="34"/>
      <c r="M126" s="35"/>
      <c r="N126" s="34"/>
      <c r="O126" s="34"/>
      <c r="P126" s="34"/>
    </row>
    <row r="127" spans="1:16" ht="30" customHeight="1">
      <c r="A127" s="34"/>
      <c r="B127" s="34"/>
      <c r="C127" s="34"/>
      <c r="D127" s="34"/>
      <c r="E127" s="34"/>
      <c r="F127" s="34"/>
      <c r="G127" s="34"/>
      <c r="H127" s="34"/>
      <c r="I127" s="34"/>
      <c r="J127" s="34"/>
      <c r="K127" s="34"/>
      <c r="L127" s="34"/>
      <c r="M127" s="35"/>
      <c r="N127" s="34"/>
      <c r="O127" s="34"/>
      <c r="P127" s="34"/>
    </row>
    <row r="128" spans="1:16" ht="30" customHeight="1">
      <c r="A128" s="34"/>
      <c r="B128" s="34"/>
      <c r="C128" s="34"/>
      <c r="D128" s="34"/>
      <c r="E128" s="34"/>
      <c r="F128" s="34"/>
      <c r="G128" s="34"/>
      <c r="H128" s="34"/>
      <c r="I128" s="34"/>
      <c r="J128" s="34"/>
      <c r="K128" s="34"/>
      <c r="L128" s="34"/>
      <c r="M128" s="35"/>
      <c r="N128" s="34"/>
      <c r="O128" s="34"/>
      <c r="P128" s="34"/>
    </row>
    <row r="129" spans="1:16" ht="30" customHeight="1">
      <c r="A129" s="34"/>
      <c r="B129" s="34"/>
      <c r="C129" s="34"/>
      <c r="D129" s="34"/>
      <c r="E129" s="34"/>
      <c r="F129" s="34"/>
      <c r="G129" s="34"/>
      <c r="H129" s="34"/>
      <c r="I129" s="34"/>
      <c r="J129" s="34"/>
      <c r="K129" s="34"/>
      <c r="L129" s="34"/>
      <c r="M129" s="35"/>
      <c r="N129" s="34"/>
      <c r="O129" s="34"/>
      <c r="P129" s="34"/>
    </row>
    <row r="130" spans="1:16" ht="30" customHeight="1">
      <c r="A130" s="34"/>
      <c r="B130" s="34"/>
      <c r="C130" s="34"/>
      <c r="D130" s="34"/>
      <c r="E130" s="34"/>
      <c r="F130" s="34"/>
      <c r="G130" s="34"/>
      <c r="H130" s="34"/>
      <c r="I130" s="34"/>
      <c r="J130" s="34"/>
      <c r="K130" s="34"/>
      <c r="L130" s="34"/>
      <c r="M130" s="35"/>
      <c r="N130" s="34"/>
      <c r="O130" s="34"/>
      <c r="P130" s="34"/>
    </row>
    <row r="131" spans="1:16" ht="30" customHeight="1">
      <c r="A131" s="34"/>
      <c r="B131" s="34"/>
      <c r="C131" s="34"/>
      <c r="D131" s="34"/>
      <c r="E131" s="34"/>
      <c r="F131" s="34"/>
      <c r="G131" s="34"/>
      <c r="H131" s="34"/>
      <c r="I131" s="34"/>
      <c r="J131" s="34"/>
      <c r="K131" s="34"/>
      <c r="L131" s="34"/>
      <c r="M131" s="35"/>
      <c r="N131" s="34"/>
      <c r="O131" s="34"/>
      <c r="P131" s="34"/>
    </row>
    <row r="132" spans="1:16" ht="30" customHeight="1">
      <c r="A132" s="34"/>
      <c r="B132" s="34"/>
      <c r="C132" s="34"/>
      <c r="D132" s="34"/>
      <c r="E132" s="34"/>
      <c r="F132" s="34"/>
      <c r="G132" s="34"/>
      <c r="H132" s="34"/>
      <c r="I132" s="34"/>
      <c r="J132" s="34"/>
      <c r="K132" s="34"/>
      <c r="L132" s="34"/>
      <c r="M132" s="35"/>
      <c r="N132" s="34"/>
      <c r="O132" s="34"/>
      <c r="P132" s="34"/>
    </row>
    <row r="133" spans="1:16" ht="30" customHeight="1">
      <c r="A133" s="34"/>
      <c r="B133" s="34"/>
      <c r="C133" s="34"/>
      <c r="D133" s="34"/>
      <c r="E133" s="34"/>
      <c r="F133" s="34"/>
      <c r="G133" s="34"/>
      <c r="H133" s="34"/>
      <c r="I133" s="34"/>
      <c r="J133" s="34"/>
      <c r="K133" s="34"/>
      <c r="L133" s="34"/>
      <c r="M133" s="35"/>
      <c r="N133" s="34"/>
      <c r="O133" s="34"/>
      <c r="P133" s="34"/>
    </row>
    <row r="134" spans="1:16" ht="30" customHeight="1">
      <c r="A134" s="34"/>
      <c r="B134" s="34"/>
      <c r="C134" s="34"/>
      <c r="D134" s="34"/>
      <c r="E134" s="34"/>
      <c r="F134" s="34"/>
      <c r="G134" s="34"/>
      <c r="H134" s="34"/>
      <c r="I134" s="34"/>
      <c r="J134" s="34"/>
      <c r="K134" s="34"/>
      <c r="L134" s="34"/>
      <c r="M134" s="35"/>
      <c r="N134" s="34"/>
      <c r="O134" s="34"/>
      <c r="P134" s="34"/>
    </row>
    <row r="135" spans="1:16" ht="30" customHeight="1">
      <c r="A135" s="34"/>
      <c r="B135" s="34"/>
      <c r="C135" s="34"/>
      <c r="D135" s="34"/>
      <c r="E135" s="34"/>
      <c r="F135" s="34"/>
      <c r="G135" s="34"/>
      <c r="H135" s="34"/>
      <c r="I135" s="34"/>
      <c r="J135" s="34"/>
      <c r="K135" s="34"/>
      <c r="L135" s="34"/>
      <c r="M135" s="35"/>
      <c r="N135" s="34"/>
      <c r="O135" s="34"/>
      <c r="P135" s="34"/>
    </row>
    <row r="136" spans="1:16" ht="30" customHeight="1">
      <c r="A136" s="34"/>
      <c r="B136" s="34"/>
      <c r="C136" s="34"/>
      <c r="D136" s="34"/>
      <c r="E136" s="34"/>
      <c r="F136" s="34"/>
      <c r="G136" s="34"/>
      <c r="H136" s="34"/>
      <c r="I136" s="34"/>
      <c r="J136" s="34"/>
      <c r="K136" s="34"/>
      <c r="L136" s="34"/>
      <c r="M136" s="35"/>
      <c r="N136" s="34"/>
      <c r="O136" s="34"/>
      <c r="P136" s="34"/>
    </row>
    <row r="137" spans="1:16" ht="30" customHeight="1">
      <c r="A137" s="34"/>
      <c r="B137" s="34"/>
      <c r="C137" s="34"/>
      <c r="D137" s="34"/>
      <c r="E137" s="34"/>
      <c r="F137" s="34"/>
      <c r="G137" s="34"/>
      <c r="H137" s="34"/>
      <c r="I137" s="34"/>
      <c r="J137" s="34"/>
      <c r="K137" s="34"/>
      <c r="L137" s="34"/>
      <c r="M137" s="35"/>
      <c r="N137" s="34"/>
      <c r="O137" s="34"/>
      <c r="P137" s="34"/>
    </row>
    <row r="138" spans="1:16" ht="30" customHeight="1">
      <c r="A138" s="34"/>
      <c r="B138" s="34"/>
      <c r="C138" s="34"/>
      <c r="D138" s="34"/>
      <c r="E138" s="34"/>
      <c r="F138" s="34"/>
      <c r="G138" s="34"/>
      <c r="H138" s="34"/>
      <c r="I138" s="34"/>
      <c r="J138" s="34"/>
      <c r="K138" s="34"/>
      <c r="L138" s="34"/>
      <c r="M138" s="35"/>
      <c r="N138" s="34"/>
      <c r="O138" s="34"/>
      <c r="P138" s="34"/>
    </row>
    <row r="139" spans="1:16" ht="30" customHeight="1">
      <c r="A139" s="34"/>
      <c r="B139" s="34"/>
      <c r="C139" s="34"/>
      <c r="D139" s="34"/>
      <c r="E139" s="34"/>
      <c r="F139" s="34"/>
      <c r="G139" s="34"/>
      <c r="H139" s="34"/>
      <c r="I139" s="34"/>
      <c r="J139" s="34"/>
      <c r="K139" s="34"/>
      <c r="L139" s="34"/>
      <c r="M139" s="35"/>
      <c r="N139" s="34"/>
      <c r="O139" s="34"/>
      <c r="P139" s="34"/>
    </row>
    <row r="140" spans="1:16" ht="30" customHeight="1">
      <c r="A140" s="34"/>
      <c r="B140" s="34"/>
      <c r="C140" s="34"/>
      <c r="D140" s="34"/>
      <c r="E140" s="34"/>
      <c r="F140" s="34"/>
      <c r="G140" s="34"/>
      <c r="H140" s="34"/>
      <c r="I140" s="34"/>
      <c r="J140" s="34"/>
      <c r="K140" s="34"/>
      <c r="L140" s="34"/>
      <c r="M140" s="35"/>
      <c r="N140" s="34"/>
      <c r="O140" s="34"/>
      <c r="P140" s="34"/>
    </row>
    <row r="141" spans="1:16" ht="30" customHeight="1">
      <c r="A141" s="34"/>
      <c r="B141" s="34"/>
      <c r="C141" s="34"/>
      <c r="D141" s="34"/>
      <c r="E141" s="34"/>
      <c r="F141" s="34"/>
      <c r="G141" s="34"/>
      <c r="H141" s="34"/>
      <c r="I141" s="34"/>
      <c r="J141" s="34"/>
      <c r="K141" s="34"/>
      <c r="L141" s="34"/>
      <c r="M141" s="35"/>
      <c r="N141" s="34"/>
      <c r="O141" s="34"/>
      <c r="P141" s="34"/>
    </row>
    <row r="142" spans="1:16" ht="30" customHeight="1">
      <c r="A142" s="34"/>
      <c r="B142" s="34"/>
      <c r="C142" s="34"/>
      <c r="D142" s="34"/>
      <c r="E142" s="34"/>
      <c r="F142" s="34"/>
      <c r="G142" s="34"/>
      <c r="H142" s="34"/>
      <c r="I142" s="34"/>
      <c r="J142" s="34"/>
      <c r="K142" s="34"/>
      <c r="L142" s="34"/>
      <c r="M142" s="35"/>
      <c r="N142" s="34"/>
      <c r="O142" s="34"/>
      <c r="P142" s="34"/>
    </row>
    <row r="143" spans="1:16" ht="30" customHeight="1">
      <c r="A143" s="34"/>
      <c r="B143" s="34"/>
      <c r="C143" s="34"/>
      <c r="D143" s="34"/>
      <c r="E143" s="34"/>
      <c r="F143" s="34"/>
      <c r="G143" s="34"/>
      <c r="H143" s="34"/>
      <c r="I143" s="34"/>
      <c r="J143" s="34"/>
      <c r="K143" s="34"/>
      <c r="L143" s="34"/>
      <c r="M143" s="35"/>
      <c r="N143" s="34"/>
      <c r="O143" s="34"/>
      <c r="P143" s="34"/>
    </row>
    <row r="144" spans="1:16" ht="30" customHeight="1">
      <c r="A144" s="34"/>
      <c r="B144" s="34"/>
      <c r="C144" s="34"/>
      <c r="D144" s="34"/>
      <c r="E144" s="34"/>
      <c r="F144" s="34"/>
      <c r="G144" s="34"/>
      <c r="H144" s="34"/>
      <c r="I144" s="34"/>
      <c r="J144" s="34"/>
      <c r="K144" s="34"/>
      <c r="L144" s="34"/>
      <c r="M144" s="35"/>
      <c r="N144" s="34"/>
      <c r="O144" s="34"/>
      <c r="P144" s="34"/>
    </row>
    <row r="145" spans="1:16" ht="30" customHeight="1">
      <c r="A145" s="34"/>
      <c r="B145" s="34"/>
      <c r="C145" s="34"/>
      <c r="D145" s="34"/>
      <c r="E145" s="34"/>
      <c r="F145" s="34"/>
      <c r="G145" s="34"/>
      <c r="H145" s="34"/>
      <c r="I145" s="34"/>
      <c r="J145" s="34"/>
      <c r="K145" s="34"/>
      <c r="L145" s="34"/>
      <c r="M145" s="35"/>
      <c r="N145" s="34"/>
      <c r="O145" s="34"/>
      <c r="P145" s="34"/>
    </row>
    <row r="146" spans="1:16" ht="30" customHeight="1">
      <c r="A146" s="34"/>
      <c r="B146" s="34"/>
      <c r="C146" s="34"/>
      <c r="D146" s="34"/>
      <c r="E146" s="34"/>
      <c r="F146" s="34"/>
      <c r="G146" s="34"/>
      <c r="H146" s="34"/>
      <c r="I146" s="34"/>
      <c r="J146" s="34"/>
      <c r="K146" s="34"/>
      <c r="L146" s="34"/>
      <c r="M146" s="35"/>
      <c r="N146" s="34"/>
      <c r="O146" s="34"/>
      <c r="P146" s="34"/>
    </row>
    <row r="147" spans="1:16" ht="30" customHeight="1">
      <c r="A147" s="34"/>
      <c r="B147" s="34"/>
      <c r="C147" s="34"/>
      <c r="D147" s="34"/>
      <c r="E147" s="34"/>
      <c r="F147" s="34"/>
      <c r="G147" s="34"/>
      <c r="H147" s="34"/>
      <c r="I147" s="34"/>
      <c r="J147" s="34"/>
      <c r="K147" s="34"/>
      <c r="L147" s="34"/>
      <c r="M147" s="35"/>
      <c r="N147" s="34"/>
      <c r="O147" s="34"/>
      <c r="P147" s="34"/>
    </row>
    <row r="148" spans="1:16" ht="30" customHeight="1">
      <c r="A148" s="34"/>
      <c r="B148" s="34"/>
      <c r="C148" s="34"/>
      <c r="D148" s="34"/>
      <c r="E148" s="34"/>
      <c r="F148" s="34"/>
      <c r="G148" s="34"/>
      <c r="H148" s="34"/>
      <c r="I148" s="34"/>
      <c r="J148" s="34"/>
      <c r="K148" s="34"/>
      <c r="L148" s="34"/>
      <c r="M148" s="35"/>
      <c r="N148" s="34"/>
      <c r="O148" s="34"/>
      <c r="P148" s="34"/>
    </row>
    <row r="149" spans="1:16" ht="30" customHeight="1">
      <c r="A149" s="34"/>
      <c r="B149" s="34"/>
      <c r="C149" s="34"/>
      <c r="D149" s="34"/>
      <c r="E149" s="34"/>
      <c r="F149" s="34"/>
      <c r="G149" s="34"/>
      <c r="H149" s="34"/>
      <c r="I149" s="34"/>
      <c r="J149" s="34"/>
      <c r="K149" s="34"/>
      <c r="L149" s="34"/>
      <c r="M149" s="35"/>
      <c r="N149" s="34"/>
      <c r="O149" s="34"/>
      <c r="P149" s="34"/>
    </row>
    <row r="150" spans="1:16" ht="30" customHeight="1">
      <c r="A150" s="34"/>
      <c r="B150" s="34"/>
      <c r="C150" s="34"/>
      <c r="D150" s="34"/>
      <c r="E150" s="34"/>
      <c r="F150" s="34"/>
      <c r="G150" s="34"/>
      <c r="H150" s="34"/>
      <c r="I150" s="34"/>
      <c r="J150" s="34"/>
      <c r="K150" s="34"/>
      <c r="L150" s="34"/>
      <c r="M150" s="35"/>
      <c r="N150" s="34"/>
      <c r="O150" s="34"/>
      <c r="P150" s="34"/>
    </row>
    <row r="151" spans="1:16" ht="30" customHeight="1">
      <c r="A151" s="34"/>
      <c r="B151" s="34"/>
      <c r="C151" s="34"/>
      <c r="D151" s="34"/>
      <c r="E151" s="34"/>
      <c r="F151" s="34"/>
      <c r="G151" s="34"/>
      <c r="H151" s="34"/>
      <c r="I151" s="34"/>
      <c r="J151" s="34"/>
      <c r="K151" s="34"/>
      <c r="L151" s="34"/>
      <c r="M151" s="35"/>
      <c r="N151" s="34"/>
      <c r="O151" s="34"/>
      <c r="P151" s="34"/>
    </row>
    <row r="152" spans="1:16" ht="30" customHeight="1">
      <c r="A152" s="34"/>
      <c r="B152" s="34"/>
      <c r="C152" s="34"/>
      <c r="D152" s="34"/>
      <c r="E152" s="34"/>
      <c r="F152" s="34"/>
      <c r="G152" s="34"/>
      <c r="H152" s="34"/>
      <c r="I152" s="34"/>
      <c r="J152" s="34"/>
      <c r="K152" s="34"/>
      <c r="L152" s="34"/>
      <c r="M152" s="35"/>
      <c r="N152" s="34"/>
      <c r="O152" s="34"/>
      <c r="P152" s="34"/>
    </row>
    <row r="153" spans="1:16" ht="30" customHeight="1">
      <c r="A153" s="34"/>
      <c r="B153" s="34"/>
      <c r="C153" s="34"/>
      <c r="D153" s="34"/>
      <c r="E153" s="34"/>
      <c r="F153" s="34"/>
      <c r="G153" s="34"/>
      <c r="H153" s="34"/>
      <c r="I153" s="34"/>
      <c r="J153" s="34"/>
      <c r="K153" s="34"/>
      <c r="L153" s="34"/>
      <c r="M153" s="35"/>
      <c r="N153" s="34"/>
      <c r="O153" s="34"/>
      <c r="P153" s="34"/>
    </row>
    <row r="154" spans="1:16" ht="30" customHeight="1">
      <c r="A154" s="34"/>
      <c r="B154" s="34"/>
      <c r="C154" s="34"/>
      <c r="D154" s="34"/>
      <c r="E154" s="34"/>
      <c r="F154" s="34"/>
      <c r="G154" s="34"/>
      <c r="H154" s="34"/>
      <c r="I154" s="34"/>
      <c r="J154" s="34"/>
      <c r="K154" s="34"/>
      <c r="L154" s="34"/>
      <c r="M154" s="35"/>
      <c r="N154" s="34"/>
      <c r="O154" s="34"/>
      <c r="P154" s="34"/>
    </row>
    <row r="155" spans="1:16" ht="30" customHeight="1">
      <c r="A155" s="34"/>
      <c r="B155" s="34"/>
      <c r="C155" s="34"/>
      <c r="D155" s="34"/>
      <c r="E155" s="34"/>
      <c r="F155" s="34"/>
      <c r="G155" s="34"/>
      <c r="H155" s="34"/>
      <c r="I155" s="34"/>
      <c r="J155" s="34"/>
      <c r="K155" s="34"/>
      <c r="L155" s="34"/>
      <c r="M155" s="35"/>
      <c r="N155" s="34"/>
      <c r="O155" s="34"/>
      <c r="P155" s="34"/>
    </row>
    <row r="156" spans="1:16" ht="30" customHeight="1">
      <c r="A156" s="34"/>
      <c r="B156" s="34"/>
      <c r="C156" s="34"/>
      <c r="D156" s="34"/>
      <c r="E156" s="34"/>
      <c r="F156" s="34"/>
      <c r="G156" s="34"/>
      <c r="H156" s="34"/>
      <c r="I156" s="34"/>
      <c r="J156" s="34"/>
      <c r="K156" s="34"/>
      <c r="L156" s="34"/>
      <c r="M156" s="35"/>
      <c r="N156" s="34"/>
      <c r="O156" s="34"/>
      <c r="P156" s="34"/>
    </row>
    <row r="157" spans="1:16" ht="30" customHeight="1">
      <c r="A157" s="34"/>
      <c r="B157" s="34"/>
      <c r="C157" s="34"/>
      <c r="D157" s="34"/>
      <c r="E157" s="34"/>
      <c r="F157" s="34"/>
      <c r="G157" s="34"/>
      <c r="H157" s="34"/>
      <c r="I157" s="34"/>
      <c r="J157" s="34"/>
      <c r="K157" s="34"/>
      <c r="L157" s="34"/>
      <c r="M157" s="35"/>
      <c r="N157" s="34"/>
      <c r="O157" s="34"/>
      <c r="P157" s="34"/>
    </row>
    <row r="158" spans="1:16" ht="30" customHeight="1">
      <c r="A158" s="34"/>
      <c r="B158" s="34"/>
      <c r="C158" s="34"/>
      <c r="D158" s="34"/>
      <c r="E158" s="34"/>
      <c r="F158" s="34"/>
      <c r="G158" s="34"/>
      <c r="H158" s="34"/>
      <c r="I158" s="34"/>
      <c r="J158" s="34"/>
      <c r="K158" s="34"/>
      <c r="L158" s="34"/>
      <c r="M158" s="35"/>
      <c r="N158" s="34"/>
      <c r="O158" s="34"/>
      <c r="P158" s="34"/>
    </row>
    <row r="159" spans="1:16" ht="30" customHeight="1">
      <c r="A159" s="34"/>
      <c r="B159" s="34"/>
      <c r="C159" s="34"/>
      <c r="D159" s="34"/>
      <c r="E159" s="34"/>
      <c r="F159" s="34"/>
      <c r="G159" s="34"/>
      <c r="H159" s="34"/>
      <c r="I159" s="34"/>
      <c r="J159" s="34"/>
      <c r="K159" s="34"/>
      <c r="L159" s="34"/>
      <c r="M159" s="35"/>
      <c r="N159" s="34"/>
      <c r="O159" s="34"/>
      <c r="P159" s="34"/>
    </row>
    <row r="160" spans="1:16" ht="30" customHeight="1">
      <c r="A160" s="34"/>
      <c r="B160" s="34"/>
      <c r="C160" s="34"/>
      <c r="D160" s="34"/>
      <c r="E160" s="34"/>
      <c r="F160" s="34"/>
      <c r="G160" s="34"/>
      <c r="H160" s="34"/>
      <c r="I160" s="34"/>
      <c r="J160" s="34"/>
      <c r="K160" s="34"/>
      <c r="L160" s="34"/>
      <c r="M160" s="35"/>
      <c r="N160" s="34"/>
      <c r="O160" s="34"/>
      <c r="P160" s="34"/>
    </row>
    <row r="161" spans="1:16" ht="30" customHeight="1">
      <c r="A161" s="34"/>
      <c r="B161" s="34"/>
      <c r="C161" s="34"/>
      <c r="D161" s="34"/>
      <c r="E161" s="34"/>
      <c r="F161" s="34"/>
      <c r="G161" s="34"/>
      <c r="H161" s="34"/>
      <c r="I161" s="34"/>
      <c r="J161" s="34"/>
      <c r="K161" s="34"/>
      <c r="L161" s="34"/>
      <c r="M161" s="35"/>
      <c r="N161" s="34"/>
      <c r="O161" s="34"/>
      <c r="P161" s="34"/>
    </row>
    <row r="162" spans="1:16" ht="30" customHeight="1">
      <c r="A162" s="34"/>
      <c r="B162" s="34"/>
      <c r="C162" s="34"/>
      <c r="D162" s="34"/>
      <c r="E162" s="34"/>
      <c r="F162" s="34"/>
      <c r="G162" s="34"/>
      <c r="H162" s="34"/>
      <c r="I162" s="34"/>
      <c r="J162" s="34"/>
      <c r="K162" s="34"/>
      <c r="L162" s="34"/>
      <c r="M162" s="35"/>
      <c r="N162" s="34"/>
      <c r="O162" s="34"/>
      <c r="P162" s="34"/>
    </row>
    <row r="163" spans="1:16" ht="30" customHeight="1">
      <c r="A163" s="34"/>
      <c r="B163" s="34"/>
      <c r="C163" s="34"/>
      <c r="D163" s="34"/>
      <c r="E163" s="34"/>
      <c r="F163" s="34"/>
      <c r="G163" s="34"/>
      <c r="H163" s="34"/>
      <c r="I163" s="34"/>
      <c r="J163" s="34"/>
      <c r="K163" s="34"/>
      <c r="L163" s="34"/>
      <c r="M163" s="35"/>
      <c r="N163" s="34"/>
      <c r="O163" s="34"/>
      <c r="P163" s="34"/>
    </row>
    <row r="164" spans="1:16" ht="30" customHeight="1">
      <c r="A164" s="34"/>
      <c r="B164" s="34"/>
      <c r="C164" s="34"/>
      <c r="D164" s="34"/>
      <c r="E164" s="34"/>
      <c r="F164" s="34"/>
      <c r="G164" s="34"/>
      <c r="H164" s="34"/>
      <c r="I164" s="34"/>
      <c r="J164" s="34"/>
      <c r="K164" s="34"/>
      <c r="L164" s="34"/>
      <c r="M164" s="35"/>
      <c r="N164" s="34"/>
      <c r="O164" s="34"/>
      <c r="P164" s="34"/>
    </row>
    <row r="165" spans="1:16" ht="30" customHeight="1">
      <c r="A165" s="34"/>
      <c r="B165" s="34"/>
      <c r="C165" s="34"/>
      <c r="D165" s="34"/>
      <c r="E165" s="34"/>
      <c r="F165" s="34"/>
      <c r="G165" s="34"/>
      <c r="H165" s="34"/>
      <c r="I165" s="34"/>
      <c r="J165" s="34"/>
      <c r="K165" s="34"/>
      <c r="L165" s="34"/>
      <c r="M165" s="35"/>
      <c r="N165" s="34"/>
      <c r="O165" s="34"/>
      <c r="P165" s="34"/>
    </row>
    <row r="166" spans="1:16" ht="30" customHeight="1">
      <c r="A166" s="34"/>
      <c r="B166" s="34"/>
      <c r="C166" s="34"/>
      <c r="D166" s="34"/>
      <c r="E166" s="34"/>
      <c r="F166" s="34"/>
      <c r="G166" s="34"/>
      <c r="H166" s="34"/>
      <c r="I166" s="34"/>
      <c r="J166" s="34"/>
      <c r="K166" s="34"/>
      <c r="L166" s="34"/>
      <c r="M166" s="35"/>
      <c r="N166" s="34"/>
      <c r="O166" s="34"/>
      <c r="P166" s="34"/>
    </row>
    <row r="167" spans="1:16" ht="30" customHeight="1">
      <c r="A167" s="34"/>
      <c r="B167" s="34"/>
      <c r="C167" s="34"/>
      <c r="D167" s="34"/>
      <c r="E167" s="34"/>
      <c r="F167" s="34"/>
      <c r="G167" s="34"/>
      <c r="H167" s="34"/>
      <c r="I167" s="34"/>
      <c r="J167" s="34"/>
      <c r="K167" s="34"/>
      <c r="L167" s="34"/>
      <c r="M167" s="35"/>
      <c r="N167" s="34"/>
      <c r="O167" s="34"/>
      <c r="P167" s="34"/>
    </row>
    <row r="168" spans="1:16" ht="30" customHeight="1">
      <c r="A168" s="34"/>
      <c r="B168" s="34"/>
      <c r="C168" s="34"/>
      <c r="D168" s="34"/>
      <c r="E168" s="34"/>
      <c r="F168" s="34"/>
      <c r="G168" s="34"/>
      <c r="H168" s="34"/>
      <c r="I168" s="34"/>
      <c r="J168" s="34"/>
      <c r="K168" s="34"/>
      <c r="L168" s="34"/>
      <c r="M168" s="35"/>
      <c r="N168" s="34"/>
      <c r="O168" s="34"/>
      <c r="P168" s="34"/>
    </row>
    <row r="169" spans="1:16" ht="30" customHeight="1">
      <c r="A169" s="34"/>
      <c r="B169" s="34"/>
      <c r="C169" s="34"/>
      <c r="D169" s="34"/>
      <c r="E169" s="34"/>
      <c r="F169" s="34"/>
      <c r="G169" s="34"/>
      <c r="H169" s="34"/>
      <c r="I169" s="34"/>
      <c r="J169" s="34"/>
      <c r="K169" s="34"/>
      <c r="L169" s="34"/>
      <c r="M169" s="35"/>
      <c r="N169" s="34"/>
      <c r="O169" s="34"/>
      <c r="P169" s="34"/>
    </row>
    <row r="170" spans="1:16" ht="30" customHeight="1">
      <c r="A170" s="34"/>
      <c r="B170" s="34"/>
      <c r="C170" s="34"/>
      <c r="D170" s="34"/>
      <c r="E170" s="34"/>
      <c r="F170" s="34"/>
      <c r="G170" s="34"/>
      <c r="H170" s="34"/>
      <c r="I170" s="34"/>
      <c r="J170" s="34"/>
      <c r="K170" s="34"/>
      <c r="L170" s="34"/>
      <c r="M170" s="35"/>
      <c r="N170" s="34"/>
      <c r="O170" s="34"/>
      <c r="P170" s="34"/>
    </row>
    <row r="171" spans="1:16" ht="30" customHeight="1">
      <c r="A171" s="34"/>
      <c r="B171" s="34"/>
      <c r="C171" s="34"/>
      <c r="D171" s="34"/>
      <c r="E171" s="34"/>
      <c r="F171" s="34"/>
      <c r="G171" s="34"/>
      <c r="H171" s="34"/>
      <c r="I171" s="34"/>
      <c r="J171" s="34"/>
      <c r="K171" s="34"/>
      <c r="L171" s="34"/>
      <c r="M171" s="35"/>
      <c r="N171" s="34"/>
      <c r="O171" s="34"/>
      <c r="P171" s="34"/>
    </row>
    <row r="172" spans="1:16" ht="30" customHeight="1">
      <c r="A172" s="34"/>
      <c r="B172" s="34"/>
      <c r="C172" s="34"/>
      <c r="D172" s="34"/>
      <c r="E172" s="34"/>
      <c r="F172" s="34"/>
      <c r="G172" s="34"/>
      <c r="H172" s="34"/>
      <c r="I172" s="34"/>
      <c r="J172" s="34"/>
      <c r="K172" s="34"/>
      <c r="L172" s="34"/>
      <c r="M172" s="35"/>
      <c r="N172" s="34"/>
      <c r="O172" s="34"/>
      <c r="P172" s="34"/>
    </row>
    <row r="173" spans="1:16" ht="30" customHeight="1">
      <c r="A173" s="34"/>
      <c r="B173" s="34"/>
      <c r="C173" s="34"/>
      <c r="D173" s="34"/>
      <c r="E173" s="34"/>
      <c r="F173" s="34"/>
      <c r="G173" s="34"/>
      <c r="H173" s="34"/>
      <c r="I173" s="34"/>
      <c r="J173" s="34"/>
      <c r="K173" s="34"/>
      <c r="L173" s="34"/>
      <c r="M173" s="35"/>
      <c r="N173" s="34"/>
      <c r="O173" s="34"/>
      <c r="P173" s="34"/>
    </row>
    <row r="174" spans="1:16" ht="30" customHeight="1">
      <c r="A174" s="34"/>
      <c r="B174" s="34"/>
      <c r="C174" s="34"/>
      <c r="D174" s="34"/>
      <c r="E174" s="34"/>
      <c r="F174" s="34"/>
      <c r="G174" s="34"/>
      <c r="H174" s="34"/>
      <c r="I174" s="34"/>
      <c r="J174" s="34"/>
      <c r="K174" s="34"/>
      <c r="L174" s="34"/>
      <c r="M174" s="35"/>
      <c r="N174" s="34"/>
      <c r="O174" s="34"/>
      <c r="P174" s="34"/>
    </row>
    <row r="175" spans="1:16" ht="30" customHeight="1">
      <c r="A175" s="34"/>
      <c r="B175" s="34"/>
      <c r="C175" s="34"/>
      <c r="D175" s="34"/>
      <c r="E175" s="34"/>
      <c r="F175" s="34"/>
      <c r="G175" s="34"/>
      <c r="H175" s="34"/>
      <c r="I175" s="34"/>
      <c r="J175" s="34"/>
      <c r="K175" s="34"/>
      <c r="L175" s="34"/>
      <c r="M175" s="35"/>
      <c r="N175" s="34"/>
      <c r="O175" s="34"/>
      <c r="P175" s="34"/>
    </row>
    <row r="176" spans="1:16" ht="30" customHeight="1">
      <c r="A176" s="34"/>
      <c r="B176" s="34"/>
      <c r="C176" s="34"/>
      <c r="D176" s="34"/>
      <c r="E176" s="34"/>
      <c r="F176" s="34"/>
      <c r="G176" s="34"/>
      <c r="H176" s="34"/>
      <c r="I176" s="34"/>
      <c r="J176" s="34"/>
      <c r="K176" s="34"/>
      <c r="L176" s="34"/>
      <c r="M176" s="35"/>
      <c r="N176" s="34"/>
      <c r="O176" s="34"/>
      <c r="P176" s="34"/>
    </row>
    <row r="177" spans="1:16" ht="30" customHeight="1">
      <c r="A177" s="34"/>
      <c r="B177" s="34"/>
      <c r="C177" s="34"/>
      <c r="D177" s="34"/>
      <c r="E177" s="34"/>
      <c r="F177" s="34"/>
      <c r="G177" s="34"/>
      <c r="H177" s="34"/>
      <c r="I177" s="34"/>
      <c r="J177" s="34"/>
      <c r="K177" s="34"/>
      <c r="L177" s="34"/>
      <c r="M177" s="35"/>
      <c r="N177" s="34"/>
      <c r="O177" s="34"/>
      <c r="P177" s="34"/>
    </row>
    <row r="178" spans="1:16" ht="30" customHeight="1">
      <c r="A178" s="34"/>
      <c r="B178" s="34"/>
      <c r="C178" s="34"/>
      <c r="D178" s="34"/>
      <c r="E178" s="34"/>
      <c r="F178" s="34"/>
      <c r="G178" s="34"/>
      <c r="H178" s="34"/>
      <c r="I178" s="34"/>
      <c r="J178" s="34"/>
      <c r="K178" s="34"/>
      <c r="L178" s="34"/>
      <c r="M178" s="35"/>
      <c r="N178" s="34"/>
      <c r="O178" s="34"/>
      <c r="P178" s="34"/>
    </row>
    <row r="179" spans="1:16" ht="30" customHeight="1">
      <c r="A179" s="34"/>
      <c r="B179" s="34"/>
      <c r="C179" s="34"/>
      <c r="D179" s="34"/>
      <c r="E179" s="34"/>
      <c r="F179" s="34"/>
      <c r="G179" s="34"/>
      <c r="H179" s="34"/>
      <c r="I179" s="34"/>
      <c r="J179" s="34"/>
      <c r="K179" s="34"/>
      <c r="L179" s="34"/>
      <c r="M179" s="35"/>
      <c r="N179" s="34"/>
      <c r="O179" s="34"/>
      <c r="P179" s="34"/>
    </row>
    <row r="180" spans="1:16" ht="30" customHeight="1">
      <c r="A180" s="34"/>
      <c r="B180" s="34"/>
      <c r="C180" s="34"/>
      <c r="D180" s="34"/>
      <c r="E180" s="34"/>
      <c r="F180" s="34"/>
      <c r="G180" s="34"/>
      <c r="H180" s="34"/>
      <c r="I180" s="34"/>
      <c r="J180" s="34"/>
      <c r="K180" s="34"/>
      <c r="L180" s="34"/>
      <c r="M180" s="35"/>
      <c r="N180" s="34"/>
      <c r="O180" s="34"/>
      <c r="P180" s="34"/>
    </row>
    <row r="181" spans="1:16" ht="30" customHeight="1">
      <c r="A181" s="34"/>
      <c r="B181" s="34"/>
      <c r="C181" s="34"/>
      <c r="D181" s="34"/>
      <c r="E181" s="34"/>
      <c r="F181" s="34"/>
      <c r="G181" s="34"/>
      <c r="H181" s="34"/>
      <c r="I181" s="34"/>
      <c r="J181" s="34"/>
      <c r="K181" s="34"/>
      <c r="L181" s="34"/>
      <c r="M181" s="35"/>
      <c r="N181" s="34"/>
      <c r="O181" s="34"/>
      <c r="P181" s="34"/>
    </row>
    <row r="182" spans="1:16" ht="30" customHeight="1">
      <c r="A182" s="34"/>
      <c r="B182" s="34"/>
      <c r="C182" s="34"/>
      <c r="D182" s="34"/>
      <c r="E182" s="34"/>
      <c r="F182" s="34"/>
      <c r="G182" s="34"/>
      <c r="H182" s="34"/>
      <c r="I182" s="34"/>
      <c r="J182" s="34"/>
      <c r="K182" s="34"/>
      <c r="L182" s="34"/>
      <c r="M182" s="35"/>
      <c r="N182" s="34"/>
      <c r="O182" s="34"/>
      <c r="P182" s="34"/>
    </row>
    <row r="183" spans="1:16" ht="30" customHeight="1">
      <c r="A183" s="34"/>
      <c r="B183" s="34"/>
      <c r="C183" s="34"/>
      <c r="D183" s="34"/>
      <c r="E183" s="34"/>
      <c r="F183" s="34"/>
      <c r="G183" s="34"/>
      <c r="H183" s="34"/>
      <c r="I183" s="34"/>
      <c r="J183" s="34"/>
      <c r="K183" s="34"/>
      <c r="L183" s="34"/>
      <c r="M183" s="35"/>
      <c r="N183" s="34"/>
      <c r="O183" s="34"/>
      <c r="P183" s="34"/>
    </row>
    <row r="184" spans="1:16" ht="30" customHeight="1">
      <c r="A184" s="34"/>
      <c r="B184" s="34"/>
      <c r="C184" s="34"/>
      <c r="D184" s="34"/>
      <c r="E184" s="34"/>
      <c r="F184" s="34"/>
      <c r="G184" s="34"/>
      <c r="H184" s="34"/>
      <c r="I184" s="34"/>
      <c r="J184" s="34"/>
      <c r="K184" s="34"/>
      <c r="L184" s="34"/>
      <c r="M184" s="35"/>
      <c r="N184" s="34"/>
      <c r="O184" s="34"/>
      <c r="P184" s="34"/>
    </row>
    <row r="185" spans="1:16" ht="30" customHeight="1">
      <c r="A185" s="34"/>
      <c r="B185" s="34"/>
      <c r="C185" s="34"/>
      <c r="D185" s="34"/>
      <c r="E185" s="34"/>
      <c r="F185" s="34"/>
      <c r="G185" s="34"/>
      <c r="H185" s="34"/>
      <c r="I185" s="34"/>
      <c r="J185" s="34"/>
      <c r="K185" s="34"/>
      <c r="L185" s="34"/>
      <c r="M185" s="35"/>
      <c r="N185" s="34"/>
      <c r="O185" s="34"/>
      <c r="P185" s="34"/>
    </row>
    <row r="186" spans="1:16" ht="30" customHeight="1">
      <c r="A186" s="34"/>
      <c r="B186" s="34"/>
      <c r="C186" s="34"/>
      <c r="D186" s="34"/>
      <c r="E186" s="34"/>
      <c r="F186" s="34"/>
      <c r="G186" s="34"/>
      <c r="H186" s="34"/>
      <c r="I186" s="34"/>
      <c r="J186" s="34"/>
      <c r="K186" s="34"/>
      <c r="L186" s="34"/>
      <c r="M186" s="35"/>
      <c r="N186" s="34"/>
      <c r="O186" s="34"/>
      <c r="P186" s="34"/>
    </row>
    <row r="187" spans="1:16" ht="30" customHeight="1">
      <c r="A187" s="34"/>
      <c r="B187" s="34"/>
      <c r="C187" s="34"/>
      <c r="D187" s="34"/>
      <c r="E187" s="34"/>
      <c r="F187" s="34"/>
      <c r="G187" s="34"/>
      <c r="H187" s="34"/>
      <c r="I187" s="34"/>
      <c r="J187" s="34"/>
      <c r="K187" s="34"/>
      <c r="L187" s="34"/>
      <c r="M187" s="35"/>
      <c r="N187" s="34"/>
      <c r="O187" s="34"/>
      <c r="P187" s="34"/>
    </row>
    <row r="188" spans="1:16" ht="30" customHeight="1">
      <c r="A188" s="34"/>
      <c r="B188" s="34"/>
      <c r="C188" s="34"/>
      <c r="D188" s="34"/>
      <c r="E188" s="34"/>
      <c r="F188" s="34"/>
      <c r="G188" s="34"/>
      <c r="H188" s="34"/>
      <c r="I188" s="34"/>
      <c r="J188" s="34"/>
      <c r="K188" s="34"/>
      <c r="L188" s="34"/>
      <c r="M188" s="35"/>
      <c r="N188" s="34"/>
      <c r="O188" s="34"/>
      <c r="P188" s="34"/>
    </row>
    <row r="189" spans="1:16" ht="30" customHeight="1">
      <c r="A189" s="34"/>
      <c r="B189" s="34"/>
      <c r="C189" s="34"/>
      <c r="D189" s="34"/>
      <c r="E189" s="34"/>
      <c r="F189" s="34"/>
      <c r="G189" s="34"/>
      <c r="H189" s="34"/>
      <c r="I189" s="34"/>
      <c r="J189" s="34"/>
      <c r="K189" s="34"/>
      <c r="L189" s="34"/>
      <c r="M189" s="35"/>
      <c r="N189" s="34"/>
      <c r="O189" s="34"/>
      <c r="P189" s="34"/>
    </row>
    <row r="190" spans="1:16" ht="30" customHeight="1">
      <c r="A190" s="34"/>
      <c r="B190" s="34"/>
      <c r="C190" s="34"/>
      <c r="D190" s="34"/>
      <c r="E190" s="34"/>
      <c r="F190" s="34"/>
      <c r="G190" s="34"/>
      <c r="H190" s="34"/>
      <c r="I190" s="34"/>
      <c r="J190" s="34"/>
      <c r="K190" s="34"/>
      <c r="L190" s="34"/>
      <c r="M190" s="35"/>
      <c r="N190" s="34"/>
      <c r="O190" s="34"/>
      <c r="P190" s="34"/>
    </row>
    <row r="191" spans="1:16" ht="30" customHeight="1">
      <c r="A191" s="34"/>
      <c r="B191" s="34"/>
      <c r="C191" s="34"/>
      <c r="D191" s="34"/>
      <c r="E191" s="34"/>
      <c r="F191" s="34"/>
      <c r="G191" s="34"/>
      <c r="H191" s="34"/>
      <c r="I191" s="34"/>
      <c r="J191" s="34"/>
      <c r="K191" s="34"/>
      <c r="L191" s="34"/>
      <c r="M191" s="35"/>
      <c r="N191" s="34"/>
      <c r="O191" s="34"/>
      <c r="P191" s="34"/>
    </row>
    <row r="192" spans="1:16" ht="30" customHeight="1">
      <c r="A192" s="34"/>
      <c r="B192" s="34"/>
      <c r="C192" s="34"/>
      <c r="D192" s="34"/>
      <c r="E192" s="34"/>
      <c r="F192" s="34"/>
      <c r="G192" s="34"/>
      <c r="H192" s="34"/>
      <c r="I192" s="34"/>
      <c r="J192" s="34"/>
      <c r="K192" s="34"/>
      <c r="L192" s="34"/>
      <c r="M192" s="35"/>
      <c r="N192" s="34"/>
      <c r="O192" s="34"/>
      <c r="P192" s="34"/>
    </row>
    <row r="193" spans="1:16" ht="30" customHeight="1">
      <c r="A193" s="34"/>
      <c r="B193" s="34"/>
      <c r="C193" s="34"/>
      <c r="D193" s="34"/>
      <c r="E193" s="34"/>
      <c r="F193" s="34"/>
      <c r="G193" s="34"/>
      <c r="H193" s="34"/>
      <c r="I193" s="34"/>
      <c r="J193" s="34"/>
      <c r="K193" s="34"/>
      <c r="L193" s="34"/>
      <c r="M193" s="35"/>
      <c r="N193" s="34"/>
      <c r="O193" s="34"/>
      <c r="P193" s="34"/>
    </row>
    <row r="194" spans="1:16" ht="30" customHeight="1">
      <c r="A194" s="34"/>
      <c r="B194" s="34"/>
      <c r="C194" s="34"/>
      <c r="D194" s="34"/>
      <c r="E194" s="34"/>
      <c r="F194" s="34"/>
      <c r="G194" s="34"/>
      <c r="H194" s="34"/>
      <c r="I194" s="34"/>
      <c r="J194" s="34"/>
      <c r="K194" s="34"/>
      <c r="L194" s="34"/>
      <c r="M194" s="35"/>
      <c r="N194" s="34"/>
      <c r="O194" s="34"/>
      <c r="P194" s="34"/>
    </row>
    <row r="195" spans="1:16" ht="30" customHeight="1">
      <c r="A195" s="34"/>
      <c r="B195" s="34"/>
      <c r="C195" s="34"/>
      <c r="D195" s="34"/>
      <c r="E195" s="34"/>
      <c r="F195" s="34"/>
      <c r="G195" s="34"/>
      <c r="H195" s="34"/>
      <c r="I195" s="34"/>
      <c r="J195" s="34"/>
      <c r="K195" s="34"/>
      <c r="L195" s="34"/>
      <c r="M195" s="35"/>
      <c r="N195" s="34"/>
      <c r="O195" s="34"/>
      <c r="P195" s="34"/>
    </row>
    <row r="196" spans="1:16" ht="30" customHeight="1">
      <c r="A196" s="34"/>
      <c r="B196" s="34"/>
      <c r="C196" s="34"/>
      <c r="D196" s="34"/>
      <c r="E196" s="34"/>
      <c r="F196" s="34"/>
      <c r="G196" s="34"/>
      <c r="H196" s="34"/>
      <c r="I196" s="34"/>
      <c r="J196" s="34"/>
      <c r="K196" s="34"/>
      <c r="L196" s="34"/>
      <c r="M196" s="35"/>
      <c r="N196" s="34"/>
      <c r="O196" s="34"/>
      <c r="P196" s="34"/>
    </row>
    <row r="197" spans="1:16" ht="30" customHeight="1">
      <c r="A197" s="34"/>
      <c r="B197" s="34"/>
      <c r="C197" s="34"/>
      <c r="D197" s="34"/>
      <c r="E197" s="34"/>
      <c r="F197" s="34"/>
      <c r="G197" s="34"/>
      <c r="H197" s="34"/>
      <c r="I197" s="34"/>
      <c r="J197" s="34"/>
      <c r="K197" s="34"/>
      <c r="L197" s="34"/>
      <c r="M197" s="35"/>
      <c r="N197" s="34"/>
      <c r="O197" s="34"/>
      <c r="P197" s="34"/>
    </row>
    <row r="198" spans="1:16" ht="30" customHeight="1">
      <c r="A198" s="34"/>
      <c r="B198" s="34"/>
      <c r="C198" s="34"/>
      <c r="D198" s="34"/>
      <c r="E198" s="34"/>
      <c r="F198" s="34"/>
      <c r="G198" s="34"/>
      <c r="H198" s="34"/>
      <c r="I198" s="34"/>
      <c r="J198" s="34"/>
      <c r="K198" s="34"/>
      <c r="L198" s="34"/>
      <c r="M198" s="35"/>
      <c r="N198" s="34"/>
      <c r="O198" s="34"/>
      <c r="P198" s="34"/>
    </row>
    <row r="199" spans="1:16" ht="30" customHeight="1">
      <c r="A199" s="34"/>
      <c r="B199" s="34"/>
      <c r="C199" s="34"/>
      <c r="D199" s="34"/>
      <c r="E199" s="34"/>
      <c r="F199" s="34"/>
      <c r="G199" s="34"/>
      <c r="H199" s="34"/>
      <c r="I199" s="34"/>
      <c r="J199" s="34"/>
      <c r="K199" s="34"/>
      <c r="L199" s="34"/>
      <c r="M199" s="35"/>
      <c r="N199" s="34"/>
      <c r="O199" s="34"/>
      <c r="P199" s="34"/>
    </row>
    <row r="200" spans="1:16" ht="30" customHeight="1">
      <c r="A200" s="34"/>
      <c r="B200" s="34"/>
      <c r="C200" s="34"/>
      <c r="D200" s="34"/>
      <c r="E200" s="34"/>
      <c r="F200" s="34"/>
      <c r="G200" s="34"/>
      <c r="H200" s="34"/>
      <c r="I200" s="34"/>
      <c r="J200" s="34"/>
      <c r="K200" s="34"/>
      <c r="L200" s="34"/>
      <c r="M200" s="35"/>
      <c r="N200" s="34"/>
      <c r="O200" s="34"/>
      <c r="P200" s="34"/>
    </row>
    <row r="201" spans="1:16" ht="30" customHeight="1">
      <c r="A201" s="34"/>
      <c r="B201" s="34"/>
      <c r="C201" s="34"/>
      <c r="D201" s="34"/>
      <c r="E201" s="34"/>
      <c r="F201" s="34"/>
      <c r="G201" s="34"/>
      <c r="H201" s="34"/>
      <c r="I201" s="34"/>
      <c r="J201" s="34"/>
      <c r="K201" s="34"/>
      <c r="L201" s="34"/>
      <c r="M201" s="35"/>
      <c r="N201" s="34"/>
      <c r="O201" s="34"/>
      <c r="P201" s="34"/>
    </row>
    <row r="202" spans="1:16" ht="30" customHeight="1">
      <c r="A202" s="34"/>
      <c r="B202" s="34"/>
      <c r="C202" s="34"/>
      <c r="D202" s="34"/>
      <c r="E202" s="34"/>
      <c r="F202" s="34"/>
      <c r="G202" s="34"/>
      <c r="H202" s="34"/>
      <c r="I202" s="34"/>
      <c r="J202" s="34"/>
      <c r="K202" s="34"/>
      <c r="L202" s="34"/>
      <c r="M202" s="35"/>
      <c r="N202" s="34"/>
      <c r="O202" s="34"/>
      <c r="P202" s="34"/>
    </row>
    <row r="203" spans="1:16" ht="30" customHeight="1">
      <c r="A203" s="34"/>
      <c r="B203" s="34"/>
      <c r="C203" s="34"/>
      <c r="D203" s="34"/>
      <c r="E203" s="34"/>
      <c r="F203" s="34"/>
      <c r="G203" s="34"/>
      <c r="H203" s="34"/>
      <c r="I203" s="34"/>
      <c r="J203" s="34"/>
      <c r="K203" s="34"/>
      <c r="L203" s="34"/>
      <c r="M203" s="35"/>
      <c r="N203" s="34"/>
      <c r="O203" s="34"/>
      <c r="P203" s="34"/>
    </row>
    <row r="204" spans="1:16" ht="30" customHeight="1">
      <c r="A204" s="34"/>
      <c r="B204" s="34"/>
      <c r="C204" s="34"/>
      <c r="D204" s="34"/>
      <c r="E204" s="34"/>
      <c r="F204" s="34"/>
      <c r="G204" s="34"/>
      <c r="H204" s="34"/>
      <c r="I204" s="34"/>
      <c r="J204" s="34"/>
      <c r="K204" s="34"/>
      <c r="L204" s="34"/>
      <c r="M204" s="35"/>
      <c r="N204" s="34"/>
      <c r="O204" s="34"/>
      <c r="P204" s="34"/>
    </row>
    <row r="205" spans="1:16" ht="30" customHeight="1">
      <c r="A205" s="34"/>
      <c r="B205" s="34"/>
      <c r="C205" s="34"/>
      <c r="D205" s="34"/>
      <c r="E205" s="34"/>
      <c r="F205" s="34"/>
      <c r="G205" s="34"/>
      <c r="H205" s="34"/>
      <c r="I205" s="34"/>
      <c r="J205" s="34"/>
      <c r="K205" s="34"/>
      <c r="L205" s="34"/>
      <c r="M205" s="35"/>
      <c r="N205" s="34"/>
      <c r="O205" s="34"/>
      <c r="P205" s="34"/>
    </row>
    <row r="206" spans="1:16" ht="30" customHeight="1">
      <c r="A206" s="34"/>
      <c r="B206" s="34"/>
      <c r="C206" s="34"/>
      <c r="D206" s="34"/>
      <c r="E206" s="34"/>
      <c r="F206" s="34"/>
      <c r="G206" s="34"/>
      <c r="H206" s="34"/>
      <c r="I206" s="34"/>
      <c r="J206" s="34"/>
      <c r="K206" s="34"/>
      <c r="L206" s="34"/>
      <c r="M206" s="35"/>
      <c r="N206" s="34"/>
      <c r="O206" s="34"/>
      <c r="P206" s="34"/>
    </row>
    <row r="207" spans="1:16" ht="30" customHeight="1">
      <c r="A207" s="34"/>
      <c r="B207" s="34"/>
      <c r="C207" s="34"/>
      <c r="D207" s="34"/>
      <c r="E207" s="34"/>
      <c r="F207" s="34"/>
      <c r="G207" s="34"/>
      <c r="H207" s="34"/>
      <c r="I207" s="34"/>
      <c r="J207" s="34"/>
      <c r="K207" s="34"/>
      <c r="L207" s="34"/>
      <c r="M207" s="35"/>
      <c r="N207" s="34"/>
      <c r="O207" s="34"/>
      <c r="P207" s="34"/>
    </row>
    <row r="208" spans="1:16" ht="30" customHeight="1">
      <c r="A208" s="34"/>
      <c r="B208" s="34"/>
      <c r="C208" s="34"/>
      <c r="D208" s="34"/>
      <c r="E208" s="34"/>
      <c r="F208" s="34"/>
      <c r="G208" s="34"/>
      <c r="H208" s="34"/>
      <c r="I208" s="34"/>
      <c r="J208" s="34"/>
      <c r="K208" s="34"/>
      <c r="L208" s="34"/>
      <c r="M208" s="35"/>
      <c r="N208" s="34"/>
      <c r="O208" s="34"/>
      <c r="P208" s="34"/>
    </row>
    <row r="209" spans="1:16" ht="30" customHeight="1">
      <c r="A209" s="34"/>
      <c r="B209" s="34"/>
      <c r="C209" s="34"/>
      <c r="D209" s="34"/>
      <c r="E209" s="34"/>
      <c r="F209" s="34"/>
      <c r="G209" s="34"/>
      <c r="H209" s="34"/>
      <c r="I209" s="34"/>
      <c r="J209" s="34"/>
      <c r="K209" s="34"/>
      <c r="L209" s="34"/>
      <c r="M209" s="35"/>
      <c r="N209" s="34"/>
      <c r="O209" s="34"/>
      <c r="P209" s="34"/>
    </row>
    <row r="210" spans="1:16" ht="30" customHeight="1">
      <c r="A210" s="34"/>
      <c r="B210" s="34"/>
      <c r="C210" s="34"/>
      <c r="D210" s="34"/>
      <c r="E210" s="34"/>
      <c r="F210" s="34"/>
      <c r="G210" s="34"/>
      <c r="H210" s="34"/>
      <c r="I210" s="34"/>
      <c r="J210" s="34"/>
      <c r="K210" s="34"/>
      <c r="L210" s="34"/>
      <c r="M210" s="35"/>
      <c r="N210" s="34"/>
      <c r="O210" s="34"/>
      <c r="P210" s="34"/>
    </row>
    <row r="211" spans="1:16" ht="30" customHeight="1">
      <c r="A211" s="34"/>
      <c r="B211" s="34"/>
      <c r="C211" s="34"/>
      <c r="D211" s="34"/>
      <c r="E211" s="34"/>
      <c r="F211" s="34"/>
      <c r="G211" s="34"/>
      <c r="H211" s="34"/>
      <c r="I211" s="34"/>
      <c r="J211" s="34"/>
      <c r="K211" s="34"/>
      <c r="L211" s="34"/>
      <c r="M211" s="35"/>
      <c r="N211" s="34"/>
      <c r="O211" s="34"/>
      <c r="P211" s="34"/>
    </row>
    <row r="212" spans="1:16" ht="30" customHeight="1">
      <c r="A212" s="34"/>
      <c r="B212" s="34"/>
      <c r="C212" s="34"/>
      <c r="D212" s="34"/>
      <c r="E212" s="34"/>
      <c r="F212" s="34"/>
      <c r="G212" s="34"/>
      <c r="H212" s="34"/>
      <c r="I212" s="34"/>
      <c r="J212" s="34"/>
      <c r="K212" s="34"/>
      <c r="L212" s="34"/>
      <c r="M212" s="35"/>
      <c r="N212" s="34"/>
      <c r="O212" s="34"/>
      <c r="P212" s="34"/>
    </row>
    <row r="213" spans="1:16" ht="30" customHeight="1">
      <c r="A213" s="34"/>
      <c r="B213" s="34"/>
      <c r="C213" s="34"/>
      <c r="D213" s="34"/>
      <c r="E213" s="34"/>
      <c r="F213" s="34"/>
      <c r="G213" s="34"/>
      <c r="H213" s="34"/>
      <c r="I213" s="34"/>
      <c r="J213" s="34"/>
      <c r="K213" s="34"/>
      <c r="L213" s="34"/>
      <c r="M213" s="35"/>
      <c r="N213" s="34"/>
      <c r="O213" s="34"/>
      <c r="P213" s="34"/>
    </row>
    <row r="214" spans="1:16" ht="30" customHeight="1">
      <c r="A214" s="34"/>
      <c r="B214" s="34"/>
      <c r="C214" s="34"/>
      <c r="D214" s="34"/>
      <c r="E214" s="34"/>
      <c r="F214" s="34"/>
      <c r="G214" s="34"/>
      <c r="H214" s="34"/>
      <c r="I214" s="34"/>
      <c r="J214" s="34"/>
      <c r="K214" s="34"/>
      <c r="L214" s="34"/>
      <c r="M214" s="35"/>
      <c r="N214" s="34"/>
      <c r="O214" s="34"/>
      <c r="P214" s="34"/>
    </row>
    <row r="215" spans="1:16" ht="30" customHeight="1">
      <c r="A215" s="34"/>
      <c r="B215" s="34"/>
      <c r="C215" s="34"/>
      <c r="D215" s="34"/>
      <c r="E215" s="34"/>
      <c r="F215" s="34"/>
      <c r="G215" s="34"/>
      <c r="H215" s="34"/>
      <c r="I215" s="34"/>
      <c r="J215" s="34"/>
      <c r="K215" s="34"/>
      <c r="L215" s="34"/>
      <c r="M215" s="35"/>
      <c r="N215" s="34"/>
      <c r="O215" s="34"/>
      <c r="P215" s="34"/>
    </row>
    <row r="216" spans="1:16" ht="30" customHeight="1">
      <c r="A216" s="34"/>
      <c r="B216" s="34"/>
      <c r="C216" s="34"/>
      <c r="D216" s="34"/>
      <c r="E216" s="34"/>
      <c r="F216" s="34"/>
      <c r="G216" s="34"/>
      <c r="H216" s="34"/>
      <c r="I216" s="34"/>
      <c r="J216" s="34"/>
      <c r="K216" s="34"/>
      <c r="L216" s="34"/>
      <c r="M216" s="35"/>
      <c r="N216" s="34"/>
      <c r="O216" s="34"/>
      <c r="P216" s="34"/>
    </row>
    <row r="217" spans="1:16" ht="30" customHeight="1">
      <c r="A217" s="34"/>
      <c r="B217" s="34"/>
      <c r="C217" s="34"/>
      <c r="D217" s="34"/>
      <c r="E217" s="34"/>
      <c r="F217" s="34"/>
      <c r="G217" s="34"/>
      <c r="H217" s="34"/>
      <c r="I217" s="34"/>
      <c r="J217" s="34"/>
      <c r="K217" s="34"/>
      <c r="L217" s="34"/>
      <c r="M217" s="35"/>
      <c r="N217" s="34"/>
      <c r="O217" s="34"/>
      <c r="P217" s="34"/>
    </row>
    <row r="218" spans="1:16" ht="30" customHeight="1">
      <c r="A218" s="34"/>
      <c r="B218" s="34"/>
      <c r="C218" s="34"/>
      <c r="D218" s="34"/>
      <c r="E218" s="34"/>
      <c r="F218" s="34"/>
      <c r="G218" s="34"/>
      <c r="H218" s="34"/>
      <c r="I218" s="34"/>
      <c r="J218" s="34"/>
      <c r="K218" s="34"/>
      <c r="L218" s="34"/>
      <c r="M218" s="35"/>
      <c r="N218" s="34"/>
      <c r="O218" s="34"/>
      <c r="P218" s="34"/>
    </row>
    <row r="219" spans="1:16" ht="30" customHeight="1">
      <c r="A219" s="34"/>
      <c r="B219" s="34"/>
      <c r="C219" s="34"/>
      <c r="D219" s="34"/>
      <c r="E219" s="34"/>
      <c r="F219" s="34"/>
      <c r="G219" s="34"/>
      <c r="H219" s="34"/>
      <c r="I219" s="34"/>
      <c r="J219" s="34"/>
      <c r="K219" s="34"/>
      <c r="L219" s="34"/>
      <c r="M219" s="35"/>
      <c r="N219" s="34"/>
      <c r="O219" s="34"/>
      <c r="P219" s="34"/>
    </row>
    <row r="220" spans="1:16" ht="30" customHeight="1">
      <c r="A220" s="34"/>
      <c r="B220" s="34"/>
      <c r="C220" s="34"/>
      <c r="D220" s="34"/>
      <c r="E220" s="34"/>
      <c r="F220" s="34"/>
      <c r="G220" s="34"/>
      <c r="H220" s="34"/>
      <c r="I220" s="34"/>
      <c r="J220" s="34"/>
      <c r="K220" s="34"/>
      <c r="L220" s="34"/>
      <c r="M220" s="35"/>
      <c r="N220" s="34"/>
      <c r="O220" s="34"/>
      <c r="P220" s="34"/>
    </row>
    <row r="221" spans="1:16" ht="30" customHeight="1">
      <c r="A221" s="34"/>
      <c r="B221" s="34"/>
      <c r="C221" s="34"/>
      <c r="D221" s="34"/>
      <c r="E221" s="34"/>
      <c r="F221" s="34"/>
      <c r="G221" s="34"/>
      <c r="H221" s="34"/>
      <c r="I221" s="34"/>
      <c r="J221" s="34"/>
      <c r="K221" s="34"/>
      <c r="L221" s="34"/>
      <c r="M221" s="35"/>
      <c r="N221" s="34"/>
      <c r="O221" s="34"/>
      <c r="P221" s="34"/>
    </row>
    <row r="222" spans="1:16" ht="30" customHeight="1">
      <c r="A222" s="34"/>
      <c r="B222" s="34"/>
      <c r="C222" s="34"/>
      <c r="D222" s="34"/>
      <c r="E222" s="34"/>
      <c r="F222" s="34"/>
      <c r="G222" s="34"/>
      <c r="H222" s="34"/>
      <c r="I222" s="34"/>
      <c r="J222" s="34"/>
      <c r="K222" s="34"/>
      <c r="L222" s="34"/>
      <c r="M222" s="35"/>
      <c r="N222" s="34"/>
      <c r="O222" s="34"/>
      <c r="P222" s="34"/>
    </row>
    <row r="223" spans="1:16" ht="30" customHeight="1">
      <c r="A223" s="34"/>
      <c r="B223" s="34"/>
      <c r="C223" s="34"/>
      <c r="D223" s="34"/>
      <c r="E223" s="34"/>
      <c r="F223" s="34"/>
      <c r="G223" s="34"/>
      <c r="H223" s="34"/>
      <c r="I223" s="34"/>
      <c r="J223" s="34"/>
      <c r="K223" s="34"/>
      <c r="L223" s="34"/>
      <c r="M223" s="35"/>
      <c r="N223" s="34"/>
      <c r="O223" s="34"/>
      <c r="P223" s="34"/>
    </row>
    <row r="224" spans="1:16" ht="30" customHeight="1">
      <c r="A224" s="34"/>
      <c r="B224" s="34"/>
      <c r="C224" s="34"/>
      <c r="D224" s="34"/>
      <c r="E224" s="34"/>
      <c r="F224" s="34"/>
      <c r="G224" s="34"/>
      <c r="H224" s="34"/>
      <c r="I224" s="34"/>
      <c r="J224" s="34"/>
      <c r="K224" s="34"/>
      <c r="L224" s="34"/>
      <c r="M224" s="35"/>
      <c r="N224" s="34"/>
      <c r="O224" s="34"/>
      <c r="P224" s="34"/>
    </row>
    <row r="225" spans="1:16" ht="30" customHeight="1">
      <c r="A225" s="34"/>
      <c r="B225" s="34"/>
      <c r="C225" s="34"/>
      <c r="D225" s="34"/>
      <c r="E225" s="34"/>
      <c r="F225" s="34"/>
      <c r="G225" s="34"/>
      <c r="H225" s="34"/>
      <c r="I225" s="34"/>
      <c r="J225" s="34"/>
      <c r="K225" s="34"/>
      <c r="L225" s="34"/>
      <c r="M225" s="35"/>
      <c r="N225" s="34"/>
      <c r="O225" s="34"/>
      <c r="P225" s="34"/>
    </row>
    <row r="226" spans="1:16" ht="30" customHeight="1">
      <c r="A226" s="34"/>
      <c r="B226" s="34"/>
      <c r="C226" s="34"/>
      <c r="D226" s="34"/>
      <c r="E226" s="34"/>
      <c r="F226" s="34"/>
      <c r="G226" s="34"/>
      <c r="H226" s="34"/>
      <c r="I226" s="34"/>
      <c r="J226" s="34"/>
      <c r="K226" s="34"/>
      <c r="L226" s="34"/>
      <c r="M226" s="35"/>
      <c r="N226" s="34"/>
      <c r="O226" s="34"/>
      <c r="P226" s="34"/>
    </row>
    <row r="227" spans="1:16" ht="30" customHeight="1">
      <c r="A227" s="34"/>
      <c r="B227" s="34"/>
      <c r="C227" s="34"/>
      <c r="D227" s="34"/>
      <c r="E227" s="34"/>
      <c r="F227" s="34"/>
      <c r="G227" s="34"/>
      <c r="H227" s="34"/>
      <c r="I227" s="34"/>
      <c r="J227" s="34"/>
      <c r="K227" s="34"/>
      <c r="L227" s="34"/>
      <c r="M227" s="35"/>
      <c r="N227" s="34"/>
      <c r="O227" s="34"/>
      <c r="P227" s="34"/>
    </row>
    <row r="228" spans="1:16" ht="30" customHeight="1">
      <c r="A228" s="34"/>
      <c r="B228" s="34"/>
      <c r="C228" s="34"/>
      <c r="D228" s="34"/>
      <c r="E228" s="34"/>
      <c r="F228" s="34"/>
      <c r="G228" s="34"/>
      <c r="H228" s="34"/>
      <c r="I228" s="34"/>
      <c r="J228" s="34"/>
      <c r="K228" s="34"/>
      <c r="L228" s="34"/>
      <c r="M228" s="35"/>
      <c r="N228" s="34"/>
      <c r="O228" s="34"/>
      <c r="P228" s="34"/>
    </row>
    <row r="229" spans="1:16" ht="30" customHeight="1">
      <c r="A229" s="34"/>
      <c r="B229" s="34"/>
      <c r="C229" s="34"/>
      <c r="D229" s="34"/>
      <c r="E229" s="34"/>
      <c r="F229" s="34"/>
      <c r="G229" s="34"/>
      <c r="H229" s="34"/>
      <c r="I229" s="34"/>
      <c r="J229" s="34"/>
      <c r="K229" s="34"/>
      <c r="L229" s="34"/>
      <c r="M229" s="35"/>
      <c r="N229" s="34"/>
      <c r="O229" s="34"/>
      <c r="P229" s="34"/>
    </row>
    <row r="230" spans="1:16" ht="30" customHeight="1">
      <c r="A230" s="34"/>
      <c r="B230" s="34"/>
      <c r="C230" s="34"/>
      <c r="D230" s="34"/>
      <c r="E230" s="34"/>
      <c r="F230" s="34"/>
      <c r="G230" s="34"/>
      <c r="H230" s="34"/>
      <c r="I230" s="34"/>
      <c r="J230" s="34"/>
      <c r="K230" s="34"/>
      <c r="L230" s="34"/>
      <c r="M230" s="35"/>
      <c r="N230" s="34"/>
      <c r="O230" s="34"/>
      <c r="P230" s="34"/>
    </row>
    <row r="231" spans="1:16" ht="30" customHeight="1">
      <c r="A231" s="34"/>
      <c r="B231" s="34"/>
      <c r="C231" s="34"/>
      <c r="D231" s="34"/>
      <c r="E231" s="34"/>
      <c r="F231" s="34"/>
      <c r="G231" s="34"/>
      <c r="H231" s="34"/>
      <c r="I231" s="34"/>
      <c r="J231" s="34"/>
      <c r="K231" s="34"/>
      <c r="L231" s="34"/>
      <c r="M231" s="35"/>
      <c r="N231" s="34"/>
      <c r="O231" s="34"/>
      <c r="P231" s="34"/>
    </row>
    <row r="232" spans="1:16" ht="30" customHeight="1">
      <c r="A232" s="34"/>
      <c r="B232" s="34"/>
      <c r="C232" s="34"/>
      <c r="D232" s="34"/>
      <c r="E232" s="34"/>
      <c r="F232" s="34"/>
      <c r="G232" s="34"/>
      <c r="H232" s="34"/>
      <c r="I232" s="34"/>
      <c r="J232" s="34"/>
      <c r="K232" s="34"/>
      <c r="L232" s="34"/>
      <c r="M232" s="35"/>
      <c r="N232" s="34"/>
      <c r="O232" s="34"/>
      <c r="P232" s="34"/>
    </row>
    <row r="233" spans="1:16" ht="30" customHeight="1">
      <c r="A233" s="34"/>
      <c r="B233" s="34"/>
      <c r="C233" s="34"/>
      <c r="D233" s="34"/>
      <c r="E233" s="34"/>
      <c r="F233" s="34"/>
      <c r="G233" s="34"/>
      <c r="H233" s="34"/>
      <c r="I233" s="34"/>
      <c r="J233" s="34"/>
      <c r="K233" s="34"/>
      <c r="L233" s="34"/>
      <c r="M233" s="35"/>
      <c r="N233" s="34"/>
      <c r="O233" s="34"/>
      <c r="P233" s="34"/>
    </row>
    <row r="234" spans="1:16" ht="30" customHeight="1">
      <c r="A234" s="34"/>
      <c r="B234" s="34"/>
      <c r="C234" s="34"/>
      <c r="D234" s="34"/>
      <c r="E234" s="34"/>
      <c r="F234" s="34"/>
      <c r="G234" s="34"/>
      <c r="H234" s="34"/>
      <c r="I234" s="34"/>
      <c r="J234" s="34"/>
      <c r="K234" s="34"/>
      <c r="L234" s="34"/>
      <c r="M234" s="35"/>
      <c r="N234" s="34"/>
      <c r="O234" s="34"/>
      <c r="P234" s="34"/>
    </row>
    <row r="235" spans="1:16" ht="30" customHeight="1">
      <c r="A235" s="34"/>
      <c r="B235" s="34"/>
      <c r="C235" s="34"/>
      <c r="D235" s="34"/>
      <c r="E235" s="34"/>
      <c r="F235" s="34"/>
      <c r="G235" s="34"/>
      <c r="H235" s="34"/>
      <c r="I235" s="34"/>
      <c r="J235" s="34"/>
      <c r="K235" s="34"/>
      <c r="L235" s="34"/>
      <c r="M235" s="35"/>
      <c r="N235" s="34"/>
      <c r="O235" s="34"/>
      <c r="P235" s="34"/>
    </row>
    <row r="236" spans="1:16" ht="30" customHeight="1">
      <c r="A236" s="34"/>
      <c r="B236" s="34"/>
      <c r="C236" s="34"/>
      <c r="D236" s="34"/>
      <c r="E236" s="34"/>
      <c r="F236" s="34"/>
      <c r="G236" s="34"/>
      <c r="H236" s="34"/>
      <c r="I236" s="34"/>
      <c r="J236" s="34"/>
      <c r="K236" s="34"/>
      <c r="L236" s="34"/>
      <c r="M236" s="35"/>
      <c r="N236" s="34"/>
      <c r="O236" s="34"/>
      <c r="P236" s="34"/>
    </row>
    <row r="237" spans="1:16" ht="30" customHeight="1">
      <c r="A237" s="34"/>
      <c r="B237" s="34"/>
      <c r="C237" s="34"/>
      <c r="D237" s="34"/>
      <c r="E237" s="34"/>
      <c r="F237" s="34"/>
      <c r="G237" s="34"/>
      <c r="H237" s="34"/>
      <c r="I237" s="34"/>
      <c r="J237" s="34"/>
      <c r="K237" s="34"/>
      <c r="L237" s="34"/>
      <c r="M237" s="35"/>
      <c r="N237" s="34"/>
      <c r="O237" s="34"/>
      <c r="P237" s="34"/>
    </row>
    <row r="238" spans="1:16" ht="30" customHeight="1">
      <c r="A238" s="34"/>
      <c r="B238" s="34"/>
      <c r="C238" s="34"/>
      <c r="D238" s="34"/>
      <c r="E238" s="34"/>
      <c r="F238" s="34"/>
      <c r="G238" s="34"/>
      <c r="H238" s="34"/>
      <c r="I238" s="34"/>
      <c r="J238" s="34"/>
      <c r="K238" s="34"/>
      <c r="L238" s="34"/>
      <c r="M238" s="35"/>
      <c r="N238" s="34"/>
      <c r="O238" s="34"/>
      <c r="P238" s="34"/>
    </row>
    <row r="239" spans="1:16" ht="30" customHeight="1">
      <c r="A239" s="34"/>
      <c r="B239" s="34"/>
      <c r="C239" s="34"/>
      <c r="D239" s="34"/>
      <c r="E239" s="34"/>
      <c r="F239" s="34"/>
      <c r="G239" s="34"/>
      <c r="H239" s="34"/>
      <c r="I239" s="34"/>
      <c r="J239" s="34"/>
      <c r="K239" s="34"/>
      <c r="L239" s="34"/>
      <c r="M239" s="35"/>
      <c r="N239" s="34"/>
      <c r="O239" s="34"/>
      <c r="P239" s="34"/>
    </row>
    <row r="240" spans="1:16" ht="30" customHeight="1">
      <c r="A240" s="34"/>
      <c r="B240" s="34"/>
      <c r="C240" s="34"/>
      <c r="D240" s="34"/>
      <c r="E240" s="34"/>
      <c r="F240" s="34"/>
      <c r="G240" s="34"/>
      <c r="H240" s="34"/>
      <c r="I240" s="34"/>
      <c r="J240" s="34"/>
      <c r="K240" s="34"/>
      <c r="L240" s="34"/>
      <c r="M240" s="35"/>
      <c r="N240" s="34"/>
      <c r="O240" s="34"/>
      <c r="P240" s="34"/>
    </row>
    <row r="241" spans="1:16" ht="30" customHeight="1">
      <c r="A241" s="34"/>
      <c r="B241" s="34"/>
      <c r="C241" s="34"/>
      <c r="D241" s="34"/>
      <c r="E241" s="34"/>
      <c r="F241" s="34"/>
      <c r="G241" s="34"/>
      <c r="H241" s="34"/>
      <c r="I241" s="34"/>
      <c r="J241" s="34"/>
      <c r="K241" s="34"/>
      <c r="L241" s="34"/>
      <c r="M241" s="35"/>
      <c r="N241" s="34"/>
      <c r="O241" s="34"/>
      <c r="P241" s="34"/>
    </row>
    <row r="242" spans="1:16" ht="30" customHeight="1">
      <c r="A242" s="34"/>
      <c r="B242" s="34"/>
      <c r="C242" s="34"/>
      <c r="D242" s="34"/>
      <c r="E242" s="34"/>
      <c r="F242" s="34"/>
      <c r="G242" s="34"/>
      <c r="H242" s="34"/>
      <c r="I242" s="34"/>
      <c r="J242" s="34"/>
      <c r="K242" s="34"/>
      <c r="L242" s="34"/>
      <c r="M242" s="35"/>
      <c r="N242" s="34"/>
      <c r="O242" s="34"/>
      <c r="P242" s="34"/>
    </row>
    <row r="243" spans="1:16" ht="30" customHeight="1">
      <c r="A243" s="34"/>
      <c r="B243" s="34"/>
      <c r="C243" s="34"/>
      <c r="D243" s="34"/>
      <c r="E243" s="34"/>
      <c r="F243" s="34"/>
      <c r="G243" s="34"/>
      <c r="H243" s="34"/>
      <c r="I243" s="34"/>
      <c r="J243" s="34"/>
      <c r="K243" s="34"/>
      <c r="L243" s="34"/>
      <c r="M243" s="35"/>
      <c r="N243" s="34"/>
      <c r="O243" s="34"/>
      <c r="P243" s="34"/>
    </row>
    <row r="244" spans="1:16" ht="30" customHeight="1">
      <c r="A244" s="34"/>
      <c r="B244" s="34"/>
      <c r="C244" s="34"/>
      <c r="D244" s="34"/>
      <c r="E244" s="34"/>
      <c r="F244" s="34"/>
      <c r="G244" s="34"/>
      <c r="H244" s="34"/>
      <c r="I244" s="34"/>
      <c r="J244" s="34"/>
      <c r="K244" s="34"/>
      <c r="L244" s="34"/>
      <c r="M244" s="35"/>
      <c r="N244" s="34"/>
      <c r="O244" s="34"/>
      <c r="P244" s="34"/>
    </row>
    <row r="245" spans="1:16" ht="30" customHeight="1">
      <c r="A245" s="34"/>
      <c r="B245" s="34"/>
      <c r="C245" s="34"/>
      <c r="D245" s="34"/>
      <c r="E245" s="34"/>
      <c r="F245" s="34"/>
      <c r="G245" s="34"/>
      <c r="H245" s="34"/>
      <c r="I245" s="34"/>
      <c r="J245" s="34"/>
      <c r="K245" s="34"/>
      <c r="L245" s="34"/>
      <c r="M245" s="35"/>
      <c r="N245" s="34"/>
      <c r="O245" s="34"/>
      <c r="P245" s="34"/>
    </row>
    <row r="246" spans="1:16" ht="30" customHeight="1">
      <c r="A246" s="34"/>
      <c r="B246" s="34"/>
      <c r="C246" s="34"/>
      <c r="D246" s="34"/>
      <c r="E246" s="34"/>
      <c r="F246" s="34"/>
      <c r="G246" s="34"/>
      <c r="H246" s="34"/>
      <c r="I246" s="34"/>
      <c r="J246" s="34"/>
      <c r="K246" s="34"/>
      <c r="L246" s="34"/>
      <c r="M246" s="35"/>
      <c r="N246" s="34"/>
      <c r="O246" s="34"/>
      <c r="P246" s="34"/>
    </row>
    <row r="247" spans="1:16" ht="30" customHeight="1">
      <c r="A247" s="34"/>
      <c r="B247" s="34"/>
      <c r="C247" s="34"/>
      <c r="D247" s="34"/>
      <c r="E247" s="34"/>
      <c r="F247" s="34"/>
      <c r="G247" s="34"/>
      <c r="H247" s="34"/>
      <c r="I247" s="34"/>
      <c r="J247" s="34"/>
      <c r="K247" s="34"/>
      <c r="L247" s="34"/>
      <c r="M247" s="35"/>
      <c r="N247" s="34"/>
      <c r="O247" s="34"/>
      <c r="P247" s="34"/>
    </row>
    <row r="248" spans="1:16" ht="30" customHeight="1">
      <c r="A248" s="34"/>
      <c r="B248" s="34"/>
      <c r="C248" s="34"/>
      <c r="D248" s="34"/>
      <c r="E248" s="34"/>
      <c r="F248" s="34"/>
      <c r="G248" s="34"/>
      <c r="H248" s="34"/>
      <c r="I248" s="34"/>
      <c r="J248" s="34"/>
      <c r="K248" s="34"/>
      <c r="L248" s="34"/>
      <c r="M248" s="35"/>
      <c r="N248" s="34"/>
      <c r="O248" s="34"/>
      <c r="P248" s="34"/>
    </row>
    <row r="249" spans="1:16" ht="30" customHeight="1">
      <c r="A249" s="34"/>
      <c r="B249" s="34"/>
      <c r="C249" s="34"/>
      <c r="D249" s="34"/>
      <c r="E249" s="34"/>
      <c r="F249" s="34"/>
      <c r="G249" s="34"/>
      <c r="H249" s="34"/>
      <c r="I249" s="34"/>
      <c r="J249" s="34"/>
      <c r="K249" s="34"/>
      <c r="L249" s="34"/>
      <c r="M249" s="35"/>
      <c r="N249" s="34"/>
      <c r="O249" s="34"/>
      <c r="P249" s="34"/>
    </row>
    <row r="250" spans="1:16" ht="30" customHeight="1">
      <c r="A250" s="34"/>
      <c r="B250" s="34"/>
      <c r="C250" s="34"/>
      <c r="D250" s="34"/>
      <c r="E250" s="34"/>
      <c r="F250" s="34"/>
      <c r="G250" s="34"/>
      <c r="H250" s="34"/>
      <c r="I250" s="34"/>
      <c r="J250" s="34"/>
      <c r="K250" s="34"/>
      <c r="L250" s="34"/>
      <c r="M250" s="35"/>
      <c r="N250" s="34"/>
      <c r="O250" s="34"/>
      <c r="P250" s="34"/>
    </row>
    <row r="251" spans="1:16" ht="30" customHeight="1">
      <c r="A251" s="34"/>
      <c r="B251" s="34"/>
      <c r="C251" s="34"/>
      <c r="D251" s="34"/>
      <c r="E251" s="34"/>
      <c r="F251" s="34"/>
      <c r="G251" s="34"/>
      <c r="H251" s="34"/>
      <c r="I251" s="34"/>
      <c r="J251" s="34"/>
      <c r="K251" s="34"/>
      <c r="L251" s="34"/>
      <c r="M251" s="35"/>
      <c r="N251" s="34"/>
      <c r="O251" s="34"/>
      <c r="P251" s="34"/>
    </row>
    <row r="252" spans="1:16" ht="30" customHeight="1">
      <c r="A252" s="34"/>
      <c r="B252" s="34"/>
      <c r="C252" s="34"/>
      <c r="D252" s="34"/>
      <c r="E252" s="34"/>
      <c r="F252" s="34"/>
      <c r="G252" s="34"/>
      <c r="H252" s="34"/>
      <c r="I252" s="34"/>
      <c r="J252" s="34"/>
      <c r="K252" s="34"/>
      <c r="L252" s="34"/>
      <c r="M252" s="35"/>
      <c r="N252" s="34"/>
      <c r="O252" s="34"/>
      <c r="P252" s="34"/>
    </row>
    <row r="253" spans="1:16" ht="30" customHeight="1">
      <c r="A253" s="34"/>
      <c r="B253" s="34"/>
      <c r="C253" s="34"/>
      <c r="D253" s="34"/>
      <c r="E253" s="34"/>
      <c r="F253" s="34"/>
      <c r="G253" s="34"/>
      <c r="H253" s="34"/>
      <c r="I253" s="34"/>
      <c r="J253" s="34"/>
      <c r="K253" s="34"/>
      <c r="L253" s="34"/>
      <c r="M253" s="35"/>
      <c r="N253" s="34"/>
      <c r="O253" s="34"/>
      <c r="P253" s="34"/>
    </row>
    <row r="254" spans="1:16" ht="30" customHeight="1">
      <c r="A254" s="34"/>
      <c r="B254" s="34"/>
      <c r="C254" s="34"/>
      <c r="D254" s="34"/>
      <c r="E254" s="34"/>
      <c r="F254" s="34"/>
      <c r="G254" s="34"/>
      <c r="H254" s="34"/>
      <c r="I254" s="34"/>
      <c r="J254" s="34"/>
      <c r="K254" s="34"/>
      <c r="L254" s="34"/>
      <c r="M254" s="35"/>
      <c r="N254" s="34"/>
      <c r="O254" s="34"/>
      <c r="P254" s="34"/>
    </row>
    <row r="255" spans="1:16" ht="30" customHeight="1">
      <c r="A255" s="34"/>
      <c r="B255" s="34"/>
      <c r="C255" s="34"/>
      <c r="D255" s="34"/>
      <c r="E255" s="34"/>
      <c r="F255" s="34"/>
      <c r="G255" s="34"/>
      <c r="H255" s="34"/>
      <c r="I255" s="34"/>
      <c r="J255" s="34"/>
      <c r="K255" s="34"/>
      <c r="L255" s="34"/>
      <c r="M255" s="35"/>
      <c r="N255" s="34"/>
      <c r="O255" s="34"/>
      <c r="P255" s="34"/>
    </row>
    <row r="256" spans="1:16" ht="30" customHeight="1">
      <c r="A256" s="34"/>
      <c r="B256" s="34"/>
      <c r="C256" s="34"/>
      <c r="D256" s="34"/>
      <c r="E256" s="34"/>
      <c r="F256" s="34"/>
      <c r="G256" s="34"/>
      <c r="H256" s="34"/>
      <c r="I256" s="34"/>
      <c r="J256" s="34"/>
      <c r="K256" s="34"/>
      <c r="L256" s="34"/>
      <c r="M256" s="35"/>
      <c r="N256" s="34"/>
      <c r="O256" s="34"/>
      <c r="P256" s="34"/>
    </row>
    <row r="257" spans="1:16" ht="30" customHeight="1">
      <c r="A257" s="34"/>
      <c r="B257" s="34"/>
      <c r="C257" s="34"/>
      <c r="D257" s="34"/>
      <c r="E257" s="34"/>
      <c r="F257" s="34"/>
      <c r="G257" s="34"/>
      <c r="H257" s="34"/>
      <c r="I257" s="34"/>
      <c r="J257" s="34"/>
      <c r="K257" s="34"/>
      <c r="L257" s="34"/>
      <c r="M257" s="35"/>
      <c r="N257" s="34"/>
      <c r="O257" s="34"/>
      <c r="P257" s="34"/>
    </row>
    <row r="258" spans="1:16" ht="30" customHeight="1">
      <c r="A258" s="34"/>
      <c r="B258" s="34"/>
      <c r="C258" s="34"/>
      <c r="D258" s="34"/>
      <c r="E258" s="34"/>
      <c r="F258" s="34"/>
      <c r="G258" s="34"/>
      <c r="H258" s="34"/>
      <c r="I258" s="34"/>
      <c r="J258" s="34"/>
      <c r="K258" s="34"/>
      <c r="L258" s="34"/>
      <c r="M258" s="35"/>
      <c r="N258" s="34"/>
      <c r="O258" s="34"/>
      <c r="P258" s="34"/>
    </row>
    <row r="259" spans="1:16" ht="30" customHeight="1">
      <c r="A259" s="34"/>
      <c r="B259" s="34"/>
      <c r="C259" s="34"/>
      <c r="D259" s="34"/>
      <c r="E259" s="34"/>
      <c r="F259" s="34"/>
      <c r="G259" s="34"/>
      <c r="H259" s="34"/>
      <c r="I259" s="34"/>
      <c r="J259" s="34"/>
      <c r="K259" s="34"/>
      <c r="L259" s="34"/>
      <c r="M259" s="35"/>
      <c r="N259" s="34"/>
      <c r="O259" s="34"/>
      <c r="P259" s="34"/>
    </row>
    <row r="260" spans="1:16" ht="30" customHeight="1">
      <c r="A260" s="34"/>
      <c r="B260" s="34"/>
      <c r="C260" s="34"/>
      <c r="D260" s="34"/>
      <c r="E260" s="34"/>
      <c r="F260" s="34"/>
      <c r="G260" s="34"/>
      <c r="H260" s="34"/>
      <c r="I260" s="34"/>
      <c r="J260" s="34"/>
      <c r="K260" s="34"/>
      <c r="L260" s="34"/>
      <c r="M260" s="35"/>
      <c r="N260" s="34"/>
      <c r="O260" s="34"/>
      <c r="P260" s="34"/>
    </row>
    <row r="261" spans="1:16" ht="30" customHeight="1">
      <c r="A261" s="34"/>
      <c r="B261" s="34"/>
      <c r="C261" s="34"/>
      <c r="D261" s="34"/>
      <c r="E261" s="34"/>
      <c r="F261" s="34"/>
      <c r="G261" s="34"/>
      <c r="H261" s="34"/>
      <c r="I261" s="34"/>
      <c r="J261" s="34"/>
      <c r="K261" s="34"/>
      <c r="L261" s="34"/>
      <c r="M261" s="35"/>
      <c r="N261" s="34"/>
      <c r="O261" s="34"/>
      <c r="P261" s="34"/>
    </row>
    <row r="262" spans="1:16" ht="30" customHeight="1">
      <c r="A262" s="34"/>
      <c r="B262" s="34"/>
      <c r="C262" s="34"/>
      <c r="D262" s="34"/>
      <c r="E262" s="34"/>
      <c r="F262" s="34"/>
      <c r="G262" s="34"/>
      <c r="H262" s="34"/>
      <c r="I262" s="34"/>
      <c r="J262" s="34"/>
      <c r="K262" s="34"/>
      <c r="L262" s="34"/>
      <c r="M262" s="35"/>
      <c r="N262" s="34"/>
      <c r="O262" s="34"/>
      <c r="P262" s="34"/>
    </row>
    <row r="263" spans="1:16" ht="30" customHeight="1">
      <c r="A263" s="34"/>
      <c r="B263" s="34"/>
      <c r="C263" s="34"/>
      <c r="D263" s="34"/>
      <c r="E263" s="34"/>
      <c r="F263" s="34"/>
      <c r="G263" s="34"/>
      <c r="H263" s="34"/>
      <c r="I263" s="34"/>
      <c r="J263" s="34"/>
      <c r="K263" s="34"/>
      <c r="L263" s="34"/>
      <c r="M263" s="35"/>
      <c r="N263" s="34"/>
      <c r="O263" s="34"/>
      <c r="P263" s="34"/>
    </row>
    <row r="264" spans="1:16" ht="30" customHeight="1">
      <c r="A264" s="34"/>
      <c r="B264" s="34"/>
      <c r="C264" s="34"/>
      <c r="D264" s="34"/>
      <c r="E264" s="34"/>
      <c r="F264" s="34"/>
      <c r="G264" s="34"/>
      <c r="H264" s="34"/>
      <c r="I264" s="34"/>
      <c r="J264" s="34"/>
      <c r="K264" s="34"/>
      <c r="L264" s="34"/>
      <c r="M264" s="35"/>
      <c r="N264" s="34"/>
      <c r="O264" s="34"/>
      <c r="P264" s="34"/>
    </row>
    <row r="265" spans="1:16" ht="30" customHeight="1">
      <c r="A265" s="34"/>
      <c r="B265" s="34"/>
      <c r="C265" s="34"/>
      <c r="D265" s="34"/>
      <c r="E265" s="34"/>
      <c r="F265" s="34"/>
      <c r="G265" s="34"/>
      <c r="H265" s="34"/>
      <c r="I265" s="34"/>
      <c r="J265" s="34"/>
      <c r="K265" s="34"/>
      <c r="L265" s="34"/>
      <c r="M265" s="35"/>
      <c r="N265" s="34"/>
      <c r="O265" s="34"/>
      <c r="P265" s="34"/>
    </row>
    <row r="266" spans="1:16" ht="30" customHeight="1">
      <c r="A266" s="34"/>
      <c r="B266" s="34"/>
      <c r="C266" s="34"/>
      <c r="D266" s="34"/>
      <c r="E266" s="34"/>
      <c r="F266" s="34"/>
      <c r="G266" s="34"/>
      <c r="H266" s="34"/>
      <c r="I266" s="34"/>
      <c r="J266" s="34"/>
      <c r="K266" s="34"/>
      <c r="L266" s="34"/>
      <c r="M266" s="35"/>
      <c r="N266" s="34"/>
      <c r="O266" s="34"/>
      <c r="P266" s="34"/>
    </row>
    <row r="267" spans="1:16" ht="30" customHeight="1">
      <c r="A267" s="34"/>
      <c r="B267" s="34"/>
      <c r="C267" s="34"/>
      <c r="D267" s="34"/>
      <c r="E267" s="34"/>
      <c r="F267" s="34"/>
      <c r="G267" s="34"/>
      <c r="H267" s="34"/>
      <c r="I267" s="34"/>
      <c r="J267" s="34"/>
      <c r="K267" s="34"/>
      <c r="L267" s="34"/>
      <c r="M267" s="35"/>
      <c r="N267" s="34"/>
      <c r="O267" s="34"/>
      <c r="P267" s="34"/>
    </row>
    <row r="268" spans="1:16" ht="30" customHeight="1">
      <c r="A268" s="34"/>
      <c r="B268" s="34"/>
      <c r="C268" s="34"/>
      <c r="D268" s="34"/>
      <c r="E268" s="34"/>
      <c r="F268" s="34"/>
      <c r="G268" s="34"/>
      <c r="H268" s="34"/>
      <c r="I268" s="34"/>
      <c r="J268" s="34"/>
      <c r="K268" s="34"/>
      <c r="L268" s="34"/>
      <c r="M268" s="35"/>
      <c r="N268" s="34"/>
      <c r="O268" s="34"/>
      <c r="P268" s="34"/>
    </row>
    <row r="269" spans="1:16" ht="30" customHeight="1">
      <c r="A269" s="34"/>
      <c r="B269" s="34"/>
      <c r="C269" s="34"/>
      <c r="D269" s="34"/>
      <c r="E269" s="34"/>
      <c r="F269" s="34"/>
      <c r="G269" s="34"/>
      <c r="H269" s="34"/>
      <c r="I269" s="34"/>
      <c r="J269" s="34"/>
      <c r="K269" s="34"/>
      <c r="L269" s="34"/>
      <c r="M269" s="35"/>
      <c r="N269" s="34"/>
      <c r="O269" s="34"/>
      <c r="P269" s="34"/>
    </row>
    <row r="270" spans="1:16" ht="30" customHeight="1">
      <c r="A270" s="34"/>
      <c r="B270" s="34"/>
      <c r="C270" s="34"/>
      <c r="D270" s="34"/>
      <c r="E270" s="34"/>
      <c r="F270" s="34"/>
      <c r="G270" s="34"/>
      <c r="H270" s="34"/>
      <c r="I270" s="34"/>
      <c r="J270" s="34"/>
      <c r="K270" s="34"/>
      <c r="L270" s="34"/>
      <c r="M270" s="35"/>
      <c r="N270" s="34"/>
      <c r="O270" s="34"/>
      <c r="P270" s="34"/>
    </row>
    <row r="271" spans="1:16" ht="30" customHeight="1">
      <c r="A271" s="34"/>
      <c r="B271" s="34"/>
      <c r="C271" s="34"/>
      <c r="D271" s="34"/>
      <c r="E271" s="34"/>
      <c r="F271" s="34"/>
      <c r="G271" s="34"/>
      <c r="H271" s="34"/>
      <c r="I271" s="34"/>
      <c r="J271" s="34"/>
      <c r="K271" s="34"/>
      <c r="L271" s="34"/>
      <c r="M271" s="35"/>
      <c r="N271" s="34"/>
      <c r="O271" s="34"/>
      <c r="P271" s="34"/>
    </row>
    <row r="272" spans="1:16" ht="30" customHeight="1">
      <c r="A272" s="34"/>
      <c r="B272" s="34"/>
      <c r="C272" s="34"/>
      <c r="D272" s="34"/>
      <c r="E272" s="34"/>
      <c r="F272" s="34"/>
      <c r="G272" s="34"/>
      <c r="H272" s="34"/>
      <c r="I272" s="34"/>
      <c r="J272" s="34"/>
      <c r="K272" s="34"/>
      <c r="L272" s="34"/>
      <c r="M272" s="35"/>
      <c r="N272" s="34"/>
      <c r="O272" s="34"/>
      <c r="P272" s="34"/>
    </row>
    <row r="273" spans="1:16" ht="30" customHeight="1">
      <c r="A273" s="34"/>
      <c r="B273" s="34"/>
      <c r="C273" s="34"/>
      <c r="D273" s="34"/>
      <c r="E273" s="34"/>
      <c r="F273" s="34"/>
      <c r="G273" s="34"/>
      <c r="H273" s="34"/>
      <c r="I273" s="34"/>
      <c r="J273" s="34"/>
      <c r="K273" s="34"/>
      <c r="L273" s="34"/>
      <c r="M273" s="35"/>
      <c r="N273" s="34"/>
      <c r="O273" s="34"/>
      <c r="P273" s="34"/>
    </row>
    <row r="274" spans="1:16" ht="30" customHeight="1">
      <c r="A274" s="34"/>
      <c r="B274" s="34"/>
      <c r="C274" s="34"/>
      <c r="D274" s="34"/>
      <c r="E274" s="34"/>
      <c r="F274" s="34"/>
      <c r="G274" s="34"/>
      <c r="H274" s="34"/>
      <c r="I274" s="34"/>
      <c r="J274" s="34"/>
      <c r="K274" s="34"/>
      <c r="L274" s="34"/>
      <c r="M274" s="35"/>
      <c r="N274" s="34"/>
      <c r="O274" s="34"/>
      <c r="P274" s="34"/>
    </row>
    <row r="275" spans="1:16" ht="30" customHeight="1">
      <c r="A275" s="34"/>
      <c r="B275" s="34"/>
      <c r="C275" s="34"/>
      <c r="D275" s="34"/>
      <c r="E275" s="34"/>
      <c r="F275" s="34"/>
      <c r="G275" s="34"/>
      <c r="H275" s="34"/>
      <c r="I275" s="34"/>
      <c r="J275" s="34"/>
      <c r="K275" s="34"/>
      <c r="L275" s="34"/>
      <c r="M275" s="35"/>
      <c r="N275" s="34"/>
      <c r="O275" s="34"/>
      <c r="P275" s="34"/>
    </row>
    <row r="276" spans="1:16" ht="30" customHeight="1">
      <c r="A276" s="34"/>
      <c r="B276" s="34"/>
      <c r="C276" s="34"/>
      <c r="D276" s="34"/>
      <c r="E276" s="34"/>
      <c r="F276" s="34"/>
      <c r="G276" s="34"/>
      <c r="H276" s="34"/>
      <c r="I276" s="34"/>
      <c r="J276" s="34"/>
      <c r="K276" s="34"/>
      <c r="L276" s="34"/>
      <c r="M276" s="35"/>
      <c r="N276" s="34"/>
      <c r="O276" s="34"/>
      <c r="P276" s="34"/>
    </row>
    <row r="277" spans="1:16" ht="30" customHeight="1">
      <c r="A277" s="34"/>
      <c r="B277" s="34"/>
      <c r="C277" s="34"/>
      <c r="D277" s="34"/>
      <c r="E277" s="34"/>
      <c r="F277" s="34"/>
      <c r="G277" s="34"/>
      <c r="H277" s="34"/>
      <c r="I277" s="34"/>
      <c r="J277" s="34"/>
      <c r="K277" s="34"/>
      <c r="L277" s="34"/>
      <c r="M277" s="35"/>
      <c r="N277" s="34"/>
      <c r="O277" s="34"/>
      <c r="P277" s="34"/>
    </row>
    <row r="278" spans="1:16" ht="30" customHeight="1">
      <c r="A278" s="34"/>
      <c r="B278" s="34"/>
      <c r="C278" s="34"/>
      <c r="D278" s="34"/>
      <c r="E278" s="34"/>
      <c r="F278" s="34"/>
      <c r="G278" s="34"/>
      <c r="H278" s="34"/>
      <c r="I278" s="34"/>
      <c r="J278" s="34"/>
      <c r="K278" s="34"/>
      <c r="L278" s="34"/>
      <c r="M278" s="35"/>
      <c r="N278" s="34"/>
      <c r="O278" s="34"/>
      <c r="P278" s="34"/>
    </row>
    <row r="279" spans="1:16" ht="30" customHeight="1">
      <c r="A279" s="34"/>
      <c r="B279" s="34"/>
      <c r="C279" s="34"/>
      <c r="D279" s="34"/>
      <c r="E279" s="34"/>
      <c r="F279" s="34"/>
      <c r="G279" s="34"/>
      <c r="H279" s="34"/>
      <c r="I279" s="34"/>
      <c r="J279" s="34"/>
      <c r="K279" s="34"/>
      <c r="L279" s="34"/>
      <c r="M279" s="35"/>
      <c r="N279" s="34"/>
      <c r="O279" s="34"/>
      <c r="P279" s="34"/>
    </row>
    <row r="280" spans="1:16" ht="30" customHeight="1">
      <c r="A280" s="34"/>
      <c r="B280" s="34"/>
      <c r="C280" s="34"/>
      <c r="D280" s="34"/>
      <c r="E280" s="34"/>
      <c r="F280" s="34"/>
      <c r="G280" s="34"/>
      <c r="H280" s="34"/>
      <c r="I280" s="34"/>
      <c r="J280" s="34"/>
      <c r="K280" s="34"/>
      <c r="L280" s="34"/>
      <c r="M280" s="35"/>
      <c r="N280" s="34"/>
      <c r="O280" s="34"/>
      <c r="P280" s="34"/>
    </row>
    <row r="281" spans="1:16" ht="30" customHeight="1">
      <c r="A281" s="34"/>
      <c r="B281" s="34"/>
      <c r="C281" s="34"/>
      <c r="D281" s="34"/>
      <c r="E281" s="34"/>
      <c r="F281" s="34"/>
      <c r="G281" s="34"/>
      <c r="H281" s="34"/>
      <c r="I281" s="34"/>
      <c r="J281" s="34"/>
      <c r="K281" s="34"/>
      <c r="L281" s="34"/>
      <c r="M281" s="35"/>
      <c r="N281" s="34"/>
      <c r="O281" s="34"/>
      <c r="P281" s="34"/>
    </row>
    <row r="282" spans="1:16" ht="30" customHeight="1">
      <c r="A282" s="34"/>
      <c r="B282" s="34"/>
      <c r="C282" s="34"/>
      <c r="D282" s="34"/>
      <c r="E282" s="34"/>
      <c r="F282" s="34"/>
      <c r="G282" s="34"/>
      <c r="H282" s="34"/>
      <c r="I282" s="34"/>
      <c r="J282" s="34"/>
      <c r="K282" s="34"/>
      <c r="L282" s="34"/>
      <c r="M282" s="35"/>
      <c r="N282" s="34"/>
      <c r="O282" s="34"/>
      <c r="P282" s="34"/>
    </row>
    <row r="283" spans="1:16" ht="30" customHeight="1">
      <c r="A283" s="34"/>
      <c r="B283" s="34"/>
      <c r="C283" s="34"/>
      <c r="D283" s="34"/>
      <c r="E283" s="34"/>
      <c r="F283" s="34"/>
      <c r="G283" s="34"/>
      <c r="H283" s="34"/>
      <c r="I283" s="34"/>
      <c r="J283" s="34"/>
      <c r="K283" s="34"/>
      <c r="L283" s="34"/>
      <c r="M283" s="35"/>
      <c r="N283" s="34"/>
      <c r="O283" s="34"/>
      <c r="P283" s="34"/>
    </row>
    <row r="284" spans="1:16" ht="30" customHeight="1">
      <c r="A284" s="34"/>
      <c r="B284" s="34"/>
      <c r="C284" s="34"/>
      <c r="D284" s="34"/>
      <c r="E284" s="34"/>
      <c r="F284" s="34"/>
      <c r="G284" s="34"/>
      <c r="H284" s="34"/>
      <c r="I284" s="34"/>
      <c r="J284" s="34"/>
      <c r="K284" s="34"/>
      <c r="L284" s="34"/>
      <c r="M284" s="35"/>
      <c r="N284" s="34"/>
      <c r="O284" s="34"/>
      <c r="P284" s="34"/>
    </row>
    <row r="285" spans="1:16" ht="30" customHeight="1">
      <c r="A285" s="34"/>
      <c r="B285" s="34"/>
      <c r="C285" s="34"/>
      <c r="D285" s="34"/>
      <c r="E285" s="34"/>
      <c r="F285" s="34"/>
      <c r="G285" s="34"/>
      <c r="H285" s="34"/>
      <c r="I285" s="34"/>
      <c r="J285" s="34"/>
      <c r="K285" s="34"/>
      <c r="L285" s="34"/>
      <c r="M285" s="35"/>
      <c r="N285" s="34"/>
      <c r="O285" s="34"/>
      <c r="P285" s="34"/>
    </row>
    <row r="286" spans="1:16" ht="30" customHeight="1">
      <c r="A286" s="34"/>
      <c r="B286" s="34"/>
      <c r="C286" s="34"/>
      <c r="D286" s="34"/>
      <c r="E286" s="34"/>
      <c r="F286" s="34"/>
      <c r="G286" s="34"/>
      <c r="H286" s="34"/>
      <c r="I286" s="34"/>
      <c r="J286" s="34"/>
      <c r="K286" s="34"/>
      <c r="L286" s="34"/>
      <c r="M286" s="35"/>
      <c r="N286" s="34"/>
      <c r="O286" s="34"/>
      <c r="P286" s="34"/>
    </row>
    <row r="287" spans="1:16" ht="30" customHeight="1">
      <c r="A287" s="34"/>
      <c r="B287" s="34"/>
      <c r="C287" s="34"/>
      <c r="D287" s="34"/>
      <c r="E287" s="34"/>
      <c r="F287" s="34"/>
      <c r="G287" s="34"/>
      <c r="H287" s="34"/>
      <c r="I287" s="34"/>
      <c r="J287" s="34"/>
      <c r="K287" s="34"/>
      <c r="L287" s="34"/>
      <c r="M287" s="35"/>
      <c r="N287" s="34"/>
      <c r="O287" s="34"/>
      <c r="P287" s="34"/>
    </row>
    <row r="288" spans="1:16" ht="30" customHeight="1">
      <c r="A288" s="34"/>
      <c r="B288" s="34"/>
      <c r="C288" s="34"/>
      <c r="D288" s="34"/>
      <c r="E288" s="34"/>
      <c r="F288" s="34"/>
      <c r="G288" s="34"/>
      <c r="H288" s="34"/>
      <c r="I288" s="34"/>
      <c r="J288" s="34"/>
      <c r="K288" s="34"/>
      <c r="L288" s="34"/>
      <c r="M288" s="35"/>
      <c r="N288" s="34"/>
      <c r="O288" s="34"/>
      <c r="P288" s="34"/>
    </row>
    <row r="289" spans="1:16" ht="30" customHeight="1">
      <c r="A289" s="34"/>
      <c r="B289" s="34"/>
      <c r="C289" s="34"/>
      <c r="D289" s="34"/>
      <c r="E289" s="34"/>
      <c r="F289" s="34"/>
      <c r="G289" s="34"/>
      <c r="H289" s="34"/>
      <c r="I289" s="34"/>
      <c r="J289" s="34"/>
      <c r="K289" s="34"/>
      <c r="L289" s="34"/>
      <c r="M289" s="35"/>
      <c r="N289" s="34"/>
      <c r="O289" s="34"/>
      <c r="P289" s="34"/>
    </row>
    <row r="290" spans="1:16" ht="30" customHeight="1">
      <c r="A290" s="34"/>
      <c r="B290" s="34"/>
      <c r="C290" s="34"/>
      <c r="D290" s="34"/>
      <c r="E290" s="34"/>
      <c r="F290" s="34"/>
      <c r="G290" s="34"/>
      <c r="H290" s="34"/>
      <c r="I290" s="34"/>
      <c r="J290" s="34"/>
      <c r="K290" s="34"/>
      <c r="L290" s="34"/>
      <c r="M290" s="35"/>
      <c r="N290" s="34"/>
      <c r="O290" s="34"/>
      <c r="P290" s="34"/>
    </row>
    <row r="291" spans="1:16" ht="30" customHeight="1">
      <c r="A291" s="34"/>
      <c r="B291" s="34"/>
      <c r="C291" s="34"/>
      <c r="D291" s="34"/>
      <c r="E291" s="34"/>
      <c r="F291" s="34"/>
      <c r="G291" s="34"/>
      <c r="H291" s="34"/>
      <c r="I291" s="34"/>
      <c r="J291" s="34"/>
      <c r="K291" s="34"/>
      <c r="L291" s="34"/>
      <c r="M291" s="35"/>
      <c r="N291" s="34"/>
      <c r="O291" s="34"/>
      <c r="P291" s="34"/>
    </row>
    <row r="292" spans="1:16" ht="30" customHeight="1">
      <c r="A292" s="34"/>
      <c r="B292" s="34"/>
      <c r="C292" s="34"/>
      <c r="D292" s="34"/>
      <c r="E292" s="34"/>
      <c r="F292" s="34"/>
      <c r="G292" s="34"/>
      <c r="H292" s="34"/>
      <c r="I292" s="34"/>
      <c r="J292" s="34"/>
      <c r="K292" s="34"/>
      <c r="L292" s="34"/>
      <c r="M292" s="35"/>
      <c r="N292" s="34"/>
      <c r="O292" s="34"/>
      <c r="P292" s="34"/>
    </row>
    <row r="293" spans="1:16" ht="30" customHeight="1">
      <c r="A293" s="34"/>
      <c r="B293" s="34"/>
      <c r="C293" s="34"/>
      <c r="D293" s="34"/>
      <c r="E293" s="34"/>
      <c r="F293" s="34"/>
      <c r="G293" s="34"/>
      <c r="H293" s="34"/>
      <c r="I293" s="34"/>
      <c r="J293" s="34"/>
      <c r="K293" s="34"/>
      <c r="L293" s="34"/>
      <c r="M293" s="35"/>
      <c r="N293" s="34"/>
      <c r="O293" s="34"/>
      <c r="P293" s="34"/>
    </row>
    <row r="294" spans="1:16" ht="30" customHeight="1">
      <c r="A294" s="34"/>
      <c r="B294" s="34"/>
      <c r="C294" s="34"/>
      <c r="D294" s="34"/>
      <c r="E294" s="34"/>
      <c r="F294" s="34"/>
      <c r="G294" s="34"/>
      <c r="H294" s="34"/>
      <c r="I294" s="34"/>
      <c r="J294" s="34"/>
      <c r="K294" s="34"/>
      <c r="L294" s="34"/>
      <c r="M294" s="35"/>
      <c r="N294" s="34"/>
      <c r="O294" s="34"/>
      <c r="P294" s="34"/>
    </row>
    <row r="295" spans="1:16" ht="30" customHeight="1">
      <c r="A295" s="34"/>
      <c r="B295" s="34"/>
      <c r="C295" s="34"/>
      <c r="D295" s="34"/>
      <c r="E295" s="34"/>
      <c r="F295" s="34"/>
      <c r="G295" s="34"/>
      <c r="H295" s="34"/>
      <c r="I295" s="34"/>
      <c r="J295" s="34"/>
      <c r="K295" s="34"/>
      <c r="L295" s="34"/>
      <c r="M295" s="35"/>
      <c r="N295" s="34"/>
      <c r="O295" s="34"/>
      <c r="P295" s="34"/>
    </row>
    <row r="296" spans="1:16" ht="30" customHeight="1">
      <c r="A296" s="34"/>
      <c r="B296" s="34"/>
      <c r="C296" s="34"/>
      <c r="D296" s="34"/>
      <c r="E296" s="34"/>
      <c r="F296" s="34"/>
      <c r="G296" s="34"/>
      <c r="H296" s="34"/>
      <c r="I296" s="34"/>
      <c r="J296" s="34"/>
      <c r="K296" s="34"/>
      <c r="L296" s="34"/>
      <c r="M296" s="35"/>
      <c r="N296" s="34"/>
      <c r="O296" s="34"/>
      <c r="P296" s="34"/>
    </row>
    <row r="297" spans="1:16" ht="30" customHeight="1">
      <c r="A297" s="34"/>
      <c r="B297" s="34"/>
      <c r="C297" s="34"/>
      <c r="D297" s="34"/>
      <c r="E297" s="34"/>
      <c r="F297" s="34"/>
      <c r="G297" s="34"/>
      <c r="H297" s="34"/>
      <c r="I297" s="34"/>
      <c r="J297" s="34"/>
      <c r="K297" s="34"/>
      <c r="L297" s="34"/>
      <c r="M297" s="35"/>
      <c r="N297" s="34"/>
      <c r="O297" s="34"/>
      <c r="P297" s="34"/>
    </row>
    <row r="298" spans="1:16" ht="30" customHeight="1">
      <c r="A298" s="34"/>
      <c r="B298" s="34"/>
      <c r="C298" s="34"/>
      <c r="D298" s="34"/>
      <c r="E298" s="34"/>
      <c r="F298" s="34"/>
      <c r="G298" s="34"/>
      <c r="H298" s="34"/>
      <c r="I298" s="34"/>
      <c r="J298" s="34"/>
      <c r="K298" s="34"/>
      <c r="L298" s="34"/>
      <c r="M298" s="35"/>
      <c r="N298" s="34"/>
      <c r="O298" s="34"/>
      <c r="P298" s="34"/>
    </row>
    <row r="299" spans="1:16" ht="30" customHeight="1">
      <c r="A299" s="34"/>
      <c r="B299" s="34"/>
      <c r="C299" s="34"/>
      <c r="D299" s="34"/>
      <c r="E299" s="34"/>
      <c r="F299" s="34"/>
      <c r="G299" s="34"/>
      <c r="H299" s="34"/>
      <c r="I299" s="34"/>
      <c r="J299" s="34"/>
      <c r="K299" s="34"/>
      <c r="L299" s="34"/>
      <c r="M299" s="35"/>
      <c r="N299" s="34"/>
      <c r="O299" s="34"/>
      <c r="P299" s="34"/>
    </row>
    <row r="300" spans="1:16" ht="30" customHeight="1">
      <c r="A300" s="34"/>
      <c r="B300" s="34"/>
      <c r="C300" s="34"/>
      <c r="D300" s="34"/>
      <c r="E300" s="34"/>
      <c r="F300" s="34"/>
      <c r="G300" s="34"/>
      <c r="H300" s="34"/>
      <c r="I300" s="34"/>
      <c r="J300" s="34"/>
      <c r="K300" s="34"/>
      <c r="L300" s="34"/>
      <c r="M300" s="35"/>
      <c r="N300" s="34"/>
      <c r="O300" s="34"/>
      <c r="P300" s="34"/>
    </row>
  </sheetData>
  <autoFilter ref="A3:P300" xr:uid="{00000000-0009-0000-0000-00000A000000}"/>
  <mergeCells count="2">
    <mergeCell ref="A1:P1"/>
    <mergeCell ref="A2:P2"/>
  </mergeCells>
  <conditionalFormatting sqref="I5:I300">
    <cfRule type="cellIs" dxfId="13" priority="2" operator="equal">
      <formula>"Pass"</formula>
    </cfRule>
    <cfRule type="cellIs" dxfId="12" priority="3" operator="equal">
      <formula>"Fail"</formula>
    </cfRule>
    <cfRule type="cellIs" dxfId="11" priority="4" operator="equal">
      <formula>"Blocked"</formula>
    </cfRule>
    <cfRule type="cellIs" dxfId="10" priority="5" operator="equal">
      <formula>"In Progress"</formula>
    </cfRule>
    <cfRule type="cellIs" dxfId="9" priority="6" operator="equal">
      <formula>"Not Executed"</formula>
    </cfRule>
    <cfRule type="cellIs" dxfId="8" priority="7" operator="equal">
      <formula>"Retest"</formula>
    </cfRule>
  </conditionalFormatting>
  <conditionalFormatting sqref="J5:J300">
    <cfRule type="cellIs" dxfId="7" priority="8" operator="equal">
      <formula>"Critical"</formula>
    </cfRule>
  </conditionalFormatting>
  <dataValidations count="5">
    <dataValidation type="list" allowBlank="1" errorTitle="Invalid Status" error="Please choose a status from the dropdown list." sqref="I5:I300" xr:uid="{00000000-0002-0000-0A00-000000000000}">
      <formula1>List_Status</formula1>
      <formula2>0</formula2>
    </dataValidation>
    <dataValidation type="list" allowBlank="1" sqref="J5:J300" xr:uid="{00000000-0002-0000-0A00-000001000000}">
      <formula1>List_Severity</formula1>
      <formula2>0</formula2>
    </dataValidation>
    <dataValidation type="list" allowBlank="1" sqref="K5:K300" xr:uid="{00000000-0002-0000-0A00-000002000000}">
      <formula1>List_Priority</formula1>
      <formula2>0</formula2>
    </dataValidation>
    <dataValidation type="list" allowBlank="1" sqref="L5:L300" xr:uid="{00000000-0002-0000-0A00-000003000000}">
      <formula1>List_Testers</formula1>
      <formula2>0</formula2>
    </dataValidation>
    <dataValidation type="list" allowBlank="1" sqref="N5:N300" xr:uid="{00000000-0002-0000-0A00-000004000000}">
      <formula1>List_Environment</formula1>
      <formula2>0</formula2>
    </dataValidation>
  </dataValidations>
  <hyperlinks>
    <hyperlink ref="A2" r:id="rId1" location="'Main%20Dashboard'!A1" xr:uid="{00000000-0004-0000-0A00-000000000000}"/>
  </hyperlinks>
  <pageMargins left="0.75" right="0.75" top="1" bottom="1" header="0.511811023622047" footer="0.511811023622047"/>
  <pageSetup paperSize="9" orientation="portrait" horizontalDpi="300" verticalDpi="30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75B6"/>
  </sheetPr>
  <dimension ref="A1:P300"/>
  <sheetViews>
    <sheetView showGridLines="0" zoomScaleNormal="100" workbookViewId="0">
      <pane ySplit="3" topLeftCell="A4" activePane="bottomLeft" state="frozen"/>
      <selection pane="bottomLeft"/>
    </sheetView>
  </sheetViews>
  <sheetFormatPr defaultColWidth="8.7109375" defaultRowHeight="15"/>
  <cols>
    <col min="1" max="1" width="12" customWidth="1"/>
    <col min="2" max="2" width="20" customWidth="1"/>
    <col min="3" max="3" width="26" customWidth="1"/>
    <col min="4" max="4" width="34" customWidth="1"/>
    <col min="5" max="5" width="22" customWidth="1"/>
    <col min="6" max="6" width="20" customWidth="1"/>
    <col min="7" max="8" width="28" customWidth="1"/>
    <col min="9" max="9" width="14" customWidth="1"/>
    <col min="10" max="10" width="12" customWidth="1"/>
    <col min="11" max="12" width="14" customWidth="1"/>
    <col min="13" max="13" width="13" customWidth="1"/>
    <col min="14" max="14" width="12" customWidth="1"/>
    <col min="15" max="15" width="18" customWidth="1"/>
    <col min="16" max="16" width="26" customWidth="1"/>
  </cols>
  <sheetData>
    <row r="1" spans="1:16" ht="31.5" customHeight="1">
      <c r="A1" s="122" t="s">
        <v>1772</v>
      </c>
      <c r="B1" s="122"/>
      <c r="C1" s="122"/>
      <c r="D1" s="122"/>
      <c r="E1" s="122"/>
      <c r="F1" s="122"/>
      <c r="G1" s="122"/>
      <c r="H1" s="122"/>
      <c r="I1" s="122"/>
      <c r="J1" s="122"/>
      <c r="K1" s="122"/>
      <c r="L1" s="122"/>
      <c r="M1" s="122"/>
      <c r="N1" s="122"/>
      <c r="O1" s="122"/>
      <c r="P1" s="122"/>
    </row>
    <row r="2" spans="1:16" ht="18" customHeight="1">
      <c r="A2" s="123" t="s">
        <v>32</v>
      </c>
      <c r="B2" s="123"/>
      <c r="C2" s="123"/>
      <c r="D2" s="123"/>
      <c r="E2" s="123"/>
      <c r="F2" s="123"/>
      <c r="G2" s="123"/>
      <c r="H2" s="123"/>
      <c r="I2" s="123"/>
      <c r="J2" s="123"/>
      <c r="K2" s="123"/>
      <c r="L2" s="123"/>
      <c r="M2" s="123"/>
      <c r="N2" s="123"/>
      <c r="O2" s="123"/>
      <c r="P2" s="123"/>
    </row>
    <row r="3" spans="1:16" ht="30" customHeight="1">
      <c r="A3" s="31" t="s">
        <v>50</v>
      </c>
      <c r="B3" s="31" t="s">
        <v>53</v>
      </c>
      <c r="C3" s="31" t="s">
        <v>56</v>
      </c>
      <c r="D3" s="31" t="s">
        <v>59</v>
      </c>
      <c r="E3" s="31" t="s">
        <v>62</v>
      </c>
      <c r="F3" s="31" t="s">
        <v>65</v>
      </c>
      <c r="G3" s="31" t="s">
        <v>68</v>
      </c>
      <c r="H3" s="31" t="s">
        <v>71</v>
      </c>
      <c r="I3" s="31" t="s">
        <v>74</v>
      </c>
      <c r="J3" s="31" t="s">
        <v>77</v>
      </c>
      <c r="K3" s="31" t="s">
        <v>80</v>
      </c>
      <c r="L3" s="31" t="s">
        <v>83</v>
      </c>
      <c r="M3" s="31" t="s">
        <v>86</v>
      </c>
      <c r="N3" s="31" t="s">
        <v>89</v>
      </c>
      <c r="O3" s="31" t="s">
        <v>92</v>
      </c>
      <c r="P3" s="31" t="s">
        <v>95</v>
      </c>
    </row>
    <row r="4" spans="1:16" ht="60" customHeight="1">
      <c r="A4" s="32" t="s">
        <v>121</v>
      </c>
      <c r="B4" s="33" t="s">
        <v>122</v>
      </c>
      <c r="C4" s="33" t="s">
        <v>123</v>
      </c>
      <c r="D4" s="33" t="s">
        <v>151</v>
      </c>
      <c r="E4" s="33" t="s">
        <v>125</v>
      </c>
      <c r="F4" s="33" t="s">
        <v>126</v>
      </c>
      <c r="G4" s="33" t="s">
        <v>152</v>
      </c>
      <c r="H4" s="33" t="s">
        <v>128</v>
      </c>
      <c r="I4" s="33" t="s">
        <v>102</v>
      </c>
      <c r="J4" s="33" t="s">
        <v>115</v>
      </c>
      <c r="K4" s="33" t="s">
        <v>129</v>
      </c>
      <c r="L4" s="33" t="s">
        <v>130</v>
      </c>
      <c r="M4" s="33" t="s">
        <v>131</v>
      </c>
      <c r="N4" s="33" t="s">
        <v>132</v>
      </c>
      <c r="O4" s="33" t="s">
        <v>153</v>
      </c>
      <c r="P4" s="33" t="s">
        <v>154</v>
      </c>
    </row>
    <row r="5" spans="1:16" ht="30" customHeight="1">
      <c r="A5" s="34"/>
      <c r="B5" s="34"/>
      <c r="C5" s="34"/>
      <c r="D5" s="34"/>
      <c r="E5" s="34"/>
      <c r="F5" s="34"/>
      <c r="G5" s="34"/>
      <c r="H5" s="34"/>
      <c r="I5" s="34"/>
      <c r="J5" s="34"/>
      <c r="K5" s="34"/>
      <c r="L5" s="34"/>
      <c r="M5" s="35"/>
      <c r="N5" s="34"/>
      <c r="O5" s="34"/>
      <c r="P5" s="34"/>
    </row>
    <row r="6" spans="1:16" ht="30" customHeight="1">
      <c r="A6" s="34"/>
      <c r="B6" s="34"/>
      <c r="C6" s="34"/>
      <c r="D6" s="34"/>
      <c r="E6" s="34"/>
      <c r="F6" s="34"/>
      <c r="G6" s="34"/>
      <c r="H6" s="34"/>
      <c r="I6" s="34"/>
      <c r="J6" s="34"/>
      <c r="K6" s="34"/>
      <c r="L6" s="34"/>
      <c r="M6" s="35"/>
      <c r="N6" s="34"/>
      <c r="O6" s="34"/>
      <c r="P6" s="34"/>
    </row>
    <row r="7" spans="1:16" ht="30" customHeight="1">
      <c r="A7" s="34"/>
      <c r="B7" s="34"/>
      <c r="C7" s="34"/>
      <c r="D7" s="34"/>
      <c r="E7" s="34"/>
      <c r="F7" s="34"/>
      <c r="G7" s="34"/>
      <c r="H7" s="34"/>
      <c r="I7" s="34"/>
      <c r="J7" s="34"/>
      <c r="K7" s="34"/>
      <c r="L7" s="34"/>
      <c r="M7" s="35"/>
      <c r="N7" s="34"/>
      <c r="O7" s="34"/>
      <c r="P7" s="34"/>
    </row>
    <row r="8" spans="1:16" ht="30" customHeight="1">
      <c r="A8" s="34"/>
      <c r="B8" s="34"/>
      <c r="C8" s="34"/>
      <c r="D8" s="34"/>
      <c r="E8" s="34"/>
      <c r="F8" s="34"/>
      <c r="G8" s="34"/>
      <c r="H8" s="34"/>
      <c r="I8" s="34"/>
      <c r="J8" s="34"/>
      <c r="K8" s="34"/>
      <c r="L8" s="34"/>
      <c r="M8" s="35"/>
      <c r="N8" s="34"/>
      <c r="O8" s="34"/>
      <c r="P8" s="34"/>
    </row>
    <row r="9" spans="1:16" ht="30" customHeight="1">
      <c r="A9" s="34"/>
      <c r="B9" s="34"/>
      <c r="C9" s="34"/>
      <c r="D9" s="34"/>
      <c r="E9" s="34"/>
      <c r="F9" s="34"/>
      <c r="G9" s="34"/>
      <c r="H9" s="34"/>
      <c r="I9" s="34"/>
      <c r="J9" s="34"/>
      <c r="K9" s="34"/>
      <c r="L9" s="34"/>
      <c r="M9" s="35"/>
      <c r="N9" s="34"/>
      <c r="O9" s="34"/>
      <c r="P9" s="34"/>
    </row>
    <row r="10" spans="1:16" ht="30" customHeight="1">
      <c r="A10" s="34"/>
      <c r="B10" s="34"/>
      <c r="C10" s="34"/>
      <c r="D10" s="34"/>
      <c r="E10" s="34"/>
      <c r="F10" s="34"/>
      <c r="G10" s="34"/>
      <c r="H10" s="34"/>
      <c r="I10" s="34"/>
      <c r="J10" s="34"/>
      <c r="K10" s="34"/>
      <c r="L10" s="34"/>
      <c r="M10" s="35"/>
      <c r="N10" s="34"/>
      <c r="O10" s="34"/>
      <c r="P10" s="34"/>
    </row>
    <row r="11" spans="1:16" ht="30" customHeight="1">
      <c r="A11" s="34"/>
      <c r="B11" s="34"/>
      <c r="C11" s="34"/>
      <c r="D11" s="34"/>
      <c r="E11" s="34"/>
      <c r="F11" s="34"/>
      <c r="G11" s="34"/>
      <c r="H11" s="34"/>
      <c r="I11" s="34"/>
      <c r="J11" s="34"/>
      <c r="K11" s="34"/>
      <c r="L11" s="34"/>
      <c r="M11" s="35"/>
      <c r="N11" s="34"/>
      <c r="O11" s="34"/>
      <c r="P11" s="34"/>
    </row>
    <row r="12" spans="1:16" ht="30" customHeight="1">
      <c r="A12" s="34"/>
      <c r="B12" s="34"/>
      <c r="C12" s="34"/>
      <c r="D12" s="34"/>
      <c r="E12" s="34"/>
      <c r="F12" s="34"/>
      <c r="G12" s="34"/>
      <c r="H12" s="34"/>
      <c r="I12" s="34"/>
      <c r="J12" s="34"/>
      <c r="K12" s="34"/>
      <c r="L12" s="34"/>
      <c r="M12" s="35"/>
      <c r="N12" s="34"/>
      <c r="O12" s="34"/>
      <c r="P12" s="34"/>
    </row>
    <row r="13" spans="1:16" ht="30" customHeight="1">
      <c r="A13" s="34"/>
      <c r="B13" s="34"/>
      <c r="C13" s="34"/>
      <c r="D13" s="34"/>
      <c r="E13" s="34"/>
      <c r="F13" s="34"/>
      <c r="G13" s="34"/>
      <c r="H13" s="34"/>
      <c r="I13" s="34"/>
      <c r="J13" s="34"/>
      <c r="K13" s="34"/>
      <c r="L13" s="34"/>
      <c r="M13" s="35"/>
      <c r="N13" s="34"/>
      <c r="O13" s="34"/>
      <c r="P13" s="34"/>
    </row>
    <row r="14" spans="1:16" ht="30" customHeight="1">
      <c r="A14" s="34"/>
      <c r="B14" s="34"/>
      <c r="C14" s="34"/>
      <c r="D14" s="34"/>
      <c r="E14" s="34"/>
      <c r="F14" s="34"/>
      <c r="G14" s="34"/>
      <c r="H14" s="34"/>
      <c r="I14" s="34"/>
      <c r="J14" s="34"/>
      <c r="K14" s="34"/>
      <c r="L14" s="34"/>
      <c r="M14" s="35"/>
      <c r="N14" s="34"/>
      <c r="O14" s="34"/>
      <c r="P14" s="34"/>
    </row>
    <row r="15" spans="1:16" ht="30" customHeight="1">
      <c r="A15" s="34"/>
      <c r="B15" s="34"/>
      <c r="C15" s="34"/>
      <c r="D15" s="34"/>
      <c r="E15" s="34"/>
      <c r="F15" s="34"/>
      <c r="G15" s="34"/>
      <c r="H15" s="34"/>
      <c r="I15" s="34"/>
      <c r="J15" s="34"/>
      <c r="K15" s="34"/>
      <c r="L15" s="34"/>
      <c r="M15" s="35"/>
      <c r="N15" s="34"/>
      <c r="O15" s="34"/>
      <c r="P15" s="34"/>
    </row>
    <row r="16" spans="1:16" ht="30" customHeight="1">
      <c r="A16" s="34"/>
      <c r="B16" s="34"/>
      <c r="C16" s="34"/>
      <c r="D16" s="34"/>
      <c r="E16" s="34"/>
      <c r="F16" s="34"/>
      <c r="G16" s="34"/>
      <c r="H16" s="34"/>
      <c r="I16" s="34"/>
      <c r="J16" s="34"/>
      <c r="K16" s="34"/>
      <c r="L16" s="34"/>
      <c r="M16" s="35"/>
      <c r="N16" s="34"/>
      <c r="O16" s="34"/>
      <c r="P16" s="34"/>
    </row>
    <row r="17" spans="1:16" ht="30" customHeight="1">
      <c r="A17" s="34"/>
      <c r="B17" s="34"/>
      <c r="C17" s="34"/>
      <c r="D17" s="34"/>
      <c r="E17" s="34"/>
      <c r="F17" s="34"/>
      <c r="G17" s="34"/>
      <c r="H17" s="34"/>
      <c r="I17" s="34"/>
      <c r="J17" s="34"/>
      <c r="K17" s="34"/>
      <c r="L17" s="34"/>
      <c r="M17" s="35"/>
      <c r="N17" s="34"/>
      <c r="O17" s="34"/>
      <c r="P17" s="34"/>
    </row>
    <row r="18" spans="1:16" ht="30" customHeight="1">
      <c r="A18" s="34"/>
      <c r="B18" s="34"/>
      <c r="C18" s="34"/>
      <c r="D18" s="34"/>
      <c r="E18" s="34"/>
      <c r="F18" s="34"/>
      <c r="G18" s="34"/>
      <c r="H18" s="34"/>
      <c r="I18" s="34"/>
      <c r="J18" s="34"/>
      <c r="K18" s="34"/>
      <c r="L18" s="34"/>
      <c r="M18" s="35"/>
      <c r="N18" s="34"/>
      <c r="O18" s="34"/>
      <c r="P18" s="34"/>
    </row>
    <row r="19" spans="1:16" ht="30" customHeight="1">
      <c r="A19" s="34"/>
      <c r="B19" s="34"/>
      <c r="C19" s="34"/>
      <c r="D19" s="34"/>
      <c r="E19" s="34"/>
      <c r="F19" s="34"/>
      <c r="G19" s="34"/>
      <c r="H19" s="34"/>
      <c r="I19" s="34"/>
      <c r="J19" s="34"/>
      <c r="K19" s="34"/>
      <c r="L19" s="34"/>
      <c r="M19" s="35"/>
      <c r="N19" s="34"/>
      <c r="O19" s="34"/>
      <c r="P19" s="34"/>
    </row>
    <row r="20" spans="1:16" ht="30" customHeight="1">
      <c r="A20" s="34"/>
      <c r="B20" s="34"/>
      <c r="C20" s="34"/>
      <c r="D20" s="34"/>
      <c r="E20" s="34"/>
      <c r="F20" s="34"/>
      <c r="G20" s="34"/>
      <c r="H20" s="34"/>
      <c r="I20" s="34"/>
      <c r="J20" s="34"/>
      <c r="K20" s="34"/>
      <c r="L20" s="34"/>
      <c r="M20" s="35"/>
      <c r="N20" s="34"/>
      <c r="O20" s="34"/>
      <c r="P20" s="34"/>
    </row>
    <row r="21" spans="1:16" ht="30" customHeight="1">
      <c r="A21" s="34"/>
      <c r="B21" s="34"/>
      <c r="C21" s="34"/>
      <c r="D21" s="34"/>
      <c r="E21" s="34"/>
      <c r="F21" s="34"/>
      <c r="G21" s="34"/>
      <c r="H21" s="34"/>
      <c r="I21" s="34"/>
      <c r="J21" s="34"/>
      <c r="K21" s="34"/>
      <c r="L21" s="34"/>
      <c r="M21" s="35"/>
      <c r="N21" s="34"/>
      <c r="O21" s="34"/>
      <c r="P21" s="34"/>
    </row>
    <row r="22" spans="1:16" ht="30" customHeight="1">
      <c r="A22" s="34"/>
      <c r="B22" s="34"/>
      <c r="C22" s="34"/>
      <c r="D22" s="34"/>
      <c r="E22" s="34"/>
      <c r="F22" s="34"/>
      <c r="G22" s="34"/>
      <c r="H22" s="34"/>
      <c r="I22" s="34"/>
      <c r="J22" s="34"/>
      <c r="K22" s="34"/>
      <c r="L22" s="34"/>
      <c r="M22" s="35"/>
      <c r="N22" s="34"/>
      <c r="O22" s="34"/>
      <c r="P22" s="34"/>
    </row>
    <row r="23" spans="1:16" ht="30" customHeight="1">
      <c r="A23" s="34"/>
      <c r="B23" s="34"/>
      <c r="C23" s="34"/>
      <c r="D23" s="34"/>
      <c r="E23" s="34"/>
      <c r="F23" s="34"/>
      <c r="G23" s="34"/>
      <c r="H23" s="34"/>
      <c r="I23" s="34"/>
      <c r="J23" s="34"/>
      <c r="K23" s="34"/>
      <c r="L23" s="34"/>
      <c r="M23" s="35"/>
      <c r="N23" s="34"/>
      <c r="O23" s="34"/>
      <c r="P23" s="34"/>
    </row>
    <row r="24" spans="1:16" ht="30" customHeight="1">
      <c r="A24" s="34"/>
      <c r="B24" s="34"/>
      <c r="C24" s="34"/>
      <c r="D24" s="34"/>
      <c r="E24" s="34"/>
      <c r="F24" s="34"/>
      <c r="G24" s="34"/>
      <c r="H24" s="34"/>
      <c r="I24" s="34"/>
      <c r="J24" s="34"/>
      <c r="K24" s="34"/>
      <c r="L24" s="34"/>
      <c r="M24" s="35"/>
      <c r="N24" s="34"/>
      <c r="O24" s="34"/>
      <c r="P24" s="34"/>
    </row>
    <row r="25" spans="1:16" ht="30" customHeight="1">
      <c r="A25" s="34"/>
      <c r="B25" s="34"/>
      <c r="C25" s="34"/>
      <c r="D25" s="34"/>
      <c r="E25" s="34"/>
      <c r="F25" s="34"/>
      <c r="G25" s="34"/>
      <c r="H25" s="34"/>
      <c r="I25" s="34"/>
      <c r="J25" s="34"/>
      <c r="K25" s="34"/>
      <c r="L25" s="34"/>
      <c r="M25" s="35"/>
      <c r="N25" s="34"/>
      <c r="O25" s="34"/>
      <c r="P25" s="34"/>
    </row>
    <row r="26" spans="1:16" ht="30" customHeight="1">
      <c r="A26" s="34"/>
      <c r="B26" s="34"/>
      <c r="C26" s="34"/>
      <c r="D26" s="34"/>
      <c r="E26" s="34"/>
      <c r="F26" s="34"/>
      <c r="G26" s="34"/>
      <c r="H26" s="34"/>
      <c r="I26" s="34"/>
      <c r="J26" s="34"/>
      <c r="K26" s="34"/>
      <c r="L26" s="34"/>
      <c r="M26" s="35"/>
      <c r="N26" s="34"/>
      <c r="O26" s="34"/>
      <c r="P26" s="34"/>
    </row>
    <row r="27" spans="1:16" ht="30" customHeight="1">
      <c r="A27" s="34"/>
      <c r="B27" s="34"/>
      <c r="C27" s="34"/>
      <c r="D27" s="34"/>
      <c r="E27" s="34"/>
      <c r="F27" s="34"/>
      <c r="G27" s="34"/>
      <c r="H27" s="34"/>
      <c r="I27" s="34"/>
      <c r="J27" s="34"/>
      <c r="K27" s="34"/>
      <c r="L27" s="34"/>
      <c r="M27" s="35"/>
      <c r="N27" s="34"/>
      <c r="O27" s="34"/>
      <c r="P27" s="34"/>
    </row>
    <row r="28" spans="1:16" ht="30" customHeight="1">
      <c r="A28" s="34"/>
      <c r="B28" s="34"/>
      <c r="C28" s="34"/>
      <c r="D28" s="34"/>
      <c r="E28" s="34"/>
      <c r="F28" s="34"/>
      <c r="G28" s="34"/>
      <c r="H28" s="34"/>
      <c r="I28" s="34"/>
      <c r="J28" s="34"/>
      <c r="K28" s="34"/>
      <c r="L28" s="34"/>
      <c r="M28" s="35"/>
      <c r="N28" s="34"/>
      <c r="O28" s="34"/>
      <c r="P28" s="34"/>
    </row>
    <row r="29" spans="1:16" ht="30" customHeight="1">
      <c r="A29" s="34"/>
      <c r="B29" s="34"/>
      <c r="C29" s="34"/>
      <c r="D29" s="34"/>
      <c r="E29" s="34"/>
      <c r="F29" s="34"/>
      <c r="G29" s="34"/>
      <c r="H29" s="34"/>
      <c r="I29" s="34"/>
      <c r="J29" s="34"/>
      <c r="K29" s="34"/>
      <c r="L29" s="34"/>
      <c r="M29" s="35"/>
      <c r="N29" s="34"/>
      <c r="O29" s="34"/>
      <c r="P29" s="34"/>
    </row>
    <row r="30" spans="1:16" ht="30" customHeight="1">
      <c r="A30" s="34"/>
      <c r="B30" s="34"/>
      <c r="C30" s="34"/>
      <c r="D30" s="34"/>
      <c r="E30" s="34"/>
      <c r="F30" s="34"/>
      <c r="G30" s="34"/>
      <c r="H30" s="34"/>
      <c r="I30" s="34"/>
      <c r="J30" s="34"/>
      <c r="K30" s="34"/>
      <c r="L30" s="34"/>
      <c r="M30" s="35"/>
      <c r="N30" s="34"/>
      <c r="O30" s="34"/>
      <c r="P30" s="34"/>
    </row>
    <row r="31" spans="1:16" ht="30" customHeight="1">
      <c r="A31" s="34"/>
      <c r="B31" s="34"/>
      <c r="C31" s="34"/>
      <c r="D31" s="34"/>
      <c r="E31" s="34"/>
      <c r="F31" s="34"/>
      <c r="G31" s="34"/>
      <c r="H31" s="34"/>
      <c r="I31" s="34"/>
      <c r="J31" s="34"/>
      <c r="K31" s="34"/>
      <c r="L31" s="34"/>
      <c r="M31" s="35"/>
      <c r="N31" s="34"/>
      <c r="O31" s="34"/>
      <c r="P31" s="34"/>
    </row>
    <row r="32" spans="1:16" ht="30" customHeight="1">
      <c r="A32" s="34"/>
      <c r="B32" s="34"/>
      <c r="C32" s="34"/>
      <c r="D32" s="34"/>
      <c r="E32" s="34"/>
      <c r="F32" s="34"/>
      <c r="G32" s="34"/>
      <c r="H32" s="34"/>
      <c r="I32" s="34"/>
      <c r="J32" s="34"/>
      <c r="K32" s="34"/>
      <c r="L32" s="34"/>
      <c r="M32" s="35"/>
      <c r="N32" s="34"/>
      <c r="O32" s="34"/>
      <c r="P32" s="34"/>
    </row>
    <row r="33" spans="1:16" ht="30" customHeight="1">
      <c r="A33" s="34"/>
      <c r="B33" s="34"/>
      <c r="C33" s="34"/>
      <c r="D33" s="34"/>
      <c r="E33" s="34"/>
      <c r="F33" s="34"/>
      <c r="G33" s="34"/>
      <c r="H33" s="34"/>
      <c r="I33" s="34"/>
      <c r="J33" s="34"/>
      <c r="K33" s="34"/>
      <c r="L33" s="34"/>
      <c r="M33" s="35"/>
      <c r="N33" s="34"/>
      <c r="O33" s="34"/>
      <c r="P33" s="34"/>
    </row>
    <row r="34" spans="1:16" ht="30" customHeight="1">
      <c r="A34" s="34"/>
      <c r="B34" s="34"/>
      <c r="C34" s="34"/>
      <c r="D34" s="34"/>
      <c r="E34" s="34"/>
      <c r="F34" s="34"/>
      <c r="G34" s="34"/>
      <c r="H34" s="34"/>
      <c r="I34" s="34"/>
      <c r="J34" s="34"/>
      <c r="K34" s="34"/>
      <c r="L34" s="34"/>
      <c r="M34" s="35"/>
      <c r="N34" s="34"/>
      <c r="O34" s="34"/>
      <c r="P34" s="34"/>
    </row>
    <row r="35" spans="1:16" ht="30" customHeight="1">
      <c r="A35" s="34"/>
      <c r="B35" s="34"/>
      <c r="C35" s="34"/>
      <c r="D35" s="34"/>
      <c r="E35" s="34"/>
      <c r="F35" s="34"/>
      <c r="G35" s="34"/>
      <c r="H35" s="34"/>
      <c r="I35" s="34"/>
      <c r="J35" s="34"/>
      <c r="K35" s="34"/>
      <c r="L35" s="34"/>
      <c r="M35" s="35"/>
      <c r="N35" s="34"/>
      <c r="O35" s="34"/>
      <c r="P35" s="34"/>
    </row>
    <row r="36" spans="1:16" ht="30" customHeight="1">
      <c r="A36" s="34"/>
      <c r="B36" s="34"/>
      <c r="C36" s="34"/>
      <c r="D36" s="34"/>
      <c r="E36" s="34"/>
      <c r="F36" s="34"/>
      <c r="G36" s="34"/>
      <c r="H36" s="34"/>
      <c r="I36" s="34"/>
      <c r="J36" s="34"/>
      <c r="K36" s="34"/>
      <c r="L36" s="34"/>
      <c r="M36" s="35"/>
      <c r="N36" s="34"/>
      <c r="O36" s="34"/>
      <c r="P36" s="34"/>
    </row>
    <row r="37" spans="1:16" ht="30" customHeight="1">
      <c r="A37" s="34"/>
      <c r="B37" s="34"/>
      <c r="C37" s="34"/>
      <c r="D37" s="34"/>
      <c r="E37" s="34"/>
      <c r="F37" s="34"/>
      <c r="G37" s="34"/>
      <c r="H37" s="34"/>
      <c r="I37" s="34"/>
      <c r="J37" s="34"/>
      <c r="K37" s="34"/>
      <c r="L37" s="34"/>
      <c r="M37" s="35"/>
      <c r="N37" s="34"/>
      <c r="O37" s="34"/>
      <c r="P37" s="34"/>
    </row>
    <row r="38" spans="1:16" ht="30" customHeight="1">
      <c r="A38" s="34"/>
      <c r="B38" s="34"/>
      <c r="C38" s="34"/>
      <c r="D38" s="34"/>
      <c r="E38" s="34"/>
      <c r="F38" s="34"/>
      <c r="G38" s="34"/>
      <c r="H38" s="34"/>
      <c r="I38" s="34"/>
      <c r="J38" s="34"/>
      <c r="K38" s="34"/>
      <c r="L38" s="34"/>
      <c r="M38" s="35"/>
      <c r="N38" s="34"/>
      <c r="O38" s="34"/>
      <c r="P38" s="34"/>
    </row>
    <row r="39" spans="1:16" ht="30" customHeight="1">
      <c r="A39" s="34"/>
      <c r="B39" s="34"/>
      <c r="C39" s="34"/>
      <c r="D39" s="34"/>
      <c r="E39" s="34"/>
      <c r="F39" s="34"/>
      <c r="G39" s="34"/>
      <c r="H39" s="34"/>
      <c r="I39" s="34"/>
      <c r="J39" s="34"/>
      <c r="K39" s="34"/>
      <c r="L39" s="34"/>
      <c r="M39" s="35"/>
      <c r="N39" s="34"/>
      <c r="O39" s="34"/>
      <c r="P39" s="34"/>
    </row>
    <row r="40" spans="1:16" ht="30" customHeight="1">
      <c r="A40" s="34"/>
      <c r="B40" s="34"/>
      <c r="C40" s="34"/>
      <c r="D40" s="34"/>
      <c r="E40" s="34"/>
      <c r="F40" s="34"/>
      <c r="G40" s="34"/>
      <c r="H40" s="34"/>
      <c r="I40" s="34"/>
      <c r="J40" s="34"/>
      <c r="K40" s="34"/>
      <c r="L40" s="34"/>
      <c r="M40" s="35"/>
      <c r="N40" s="34"/>
      <c r="O40" s="34"/>
      <c r="P40" s="34"/>
    </row>
    <row r="41" spans="1:16" ht="30" customHeight="1">
      <c r="A41" s="34"/>
      <c r="B41" s="34"/>
      <c r="C41" s="34"/>
      <c r="D41" s="34"/>
      <c r="E41" s="34"/>
      <c r="F41" s="34"/>
      <c r="G41" s="34"/>
      <c r="H41" s="34"/>
      <c r="I41" s="34"/>
      <c r="J41" s="34"/>
      <c r="K41" s="34"/>
      <c r="L41" s="34"/>
      <c r="M41" s="35"/>
      <c r="N41" s="34"/>
      <c r="O41" s="34"/>
      <c r="P41" s="34"/>
    </row>
    <row r="42" spans="1:16" ht="30" customHeight="1">
      <c r="A42" s="34"/>
      <c r="B42" s="34"/>
      <c r="C42" s="34"/>
      <c r="D42" s="34"/>
      <c r="E42" s="34"/>
      <c r="F42" s="34"/>
      <c r="G42" s="34"/>
      <c r="H42" s="34"/>
      <c r="I42" s="34"/>
      <c r="J42" s="34"/>
      <c r="K42" s="34"/>
      <c r="L42" s="34"/>
      <c r="M42" s="35"/>
      <c r="N42" s="34"/>
      <c r="O42" s="34"/>
      <c r="P42" s="34"/>
    </row>
    <row r="43" spans="1:16" ht="30" customHeight="1">
      <c r="A43" s="34"/>
      <c r="B43" s="34"/>
      <c r="C43" s="34"/>
      <c r="D43" s="34"/>
      <c r="E43" s="34"/>
      <c r="F43" s="34"/>
      <c r="G43" s="34"/>
      <c r="H43" s="34"/>
      <c r="I43" s="34"/>
      <c r="J43" s="34"/>
      <c r="K43" s="34"/>
      <c r="L43" s="34"/>
      <c r="M43" s="35"/>
      <c r="N43" s="34"/>
      <c r="O43" s="34"/>
      <c r="P43" s="34"/>
    </row>
    <row r="44" spans="1:16" ht="30" customHeight="1">
      <c r="A44" s="34"/>
      <c r="B44" s="34"/>
      <c r="C44" s="34"/>
      <c r="D44" s="34"/>
      <c r="E44" s="34"/>
      <c r="F44" s="34"/>
      <c r="G44" s="34"/>
      <c r="H44" s="34"/>
      <c r="I44" s="34"/>
      <c r="J44" s="34"/>
      <c r="K44" s="34"/>
      <c r="L44" s="34"/>
      <c r="M44" s="35"/>
      <c r="N44" s="34"/>
      <c r="O44" s="34"/>
      <c r="P44" s="34"/>
    </row>
    <row r="45" spans="1:16" ht="30" customHeight="1">
      <c r="A45" s="34"/>
      <c r="B45" s="34"/>
      <c r="C45" s="34"/>
      <c r="D45" s="34"/>
      <c r="E45" s="34"/>
      <c r="F45" s="34"/>
      <c r="G45" s="34"/>
      <c r="H45" s="34"/>
      <c r="I45" s="34"/>
      <c r="J45" s="34"/>
      <c r="K45" s="34"/>
      <c r="L45" s="34"/>
      <c r="M45" s="35"/>
      <c r="N45" s="34"/>
      <c r="O45" s="34"/>
      <c r="P45" s="34"/>
    </row>
    <row r="46" spans="1:16" ht="30" customHeight="1">
      <c r="A46" s="34"/>
      <c r="B46" s="34"/>
      <c r="C46" s="34"/>
      <c r="D46" s="34"/>
      <c r="E46" s="34"/>
      <c r="F46" s="34"/>
      <c r="G46" s="34"/>
      <c r="H46" s="34"/>
      <c r="I46" s="34"/>
      <c r="J46" s="34"/>
      <c r="K46" s="34"/>
      <c r="L46" s="34"/>
      <c r="M46" s="35"/>
      <c r="N46" s="34"/>
      <c r="O46" s="34"/>
      <c r="P46" s="34"/>
    </row>
    <row r="47" spans="1:16" ht="30" customHeight="1">
      <c r="A47" s="34"/>
      <c r="B47" s="34"/>
      <c r="C47" s="34"/>
      <c r="D47" s="34"/>
      <c r="E47" s="34"/>
      <c r="F47" s="34"/>
      <c r="G47" s="34"/>
      <c r="H47" s="34"/>
      <c r="I47" s="34"/>
      <c r="J47" s="34"/>
      <c r="K47" s="34"/>
      <c r="L47" s="34"/>
      <c r="M47" s="35"/>
      <c r="N47" s="34"/>
      <c r="O47" s="34"/>
      <c r="P47" s="34"/>
    </row>
    <row r="48" spans="1:16" ht="30" customHeight="1">
      <c r="A48" s="34"/>
      <c r="B48" s="34"/>
      <c r="C48" s="34"/>
      <c r="D48" s="34"/>
      <c r="E48" s="34"/>
      <c r="F48" s="34"/>
      <c r="G48" s="34"/>
      <c r="H48" s="34"/>
      <c r="I48" s="34"/>
      <c r="J48" s="34"/>
      <c r="K48" s="34"/>
      <c r="L48" s="34"/>
      <c r="M48" s="35"/>
      <c r="N48" s="34"/>
      <c r="O48" s="34"/>
      <c r="P48" s="34"/>
    </row>
    <row r="49" spans="1:16" ht="30" customHeight="1">
      <c r="A49" s="34"/>
      <c r="B49" s="34"/>
      <c r="C49" s="34"/>
      <c r="D49" s="34"/>
      <c r="E49" s="34"/>
      <c r="F49" s="34"/>
      <c r="G49" s="34"/>
      <c r="H49" s="34"/>
      <c r="I49" s="34"/>
      <c r="J49" s="34"/>
      <c r="K49" s="34"/>
      <c r="L49" s="34"/>
      <c r="M49" s="35"/>
      <c r="N49" s="34"/>
      <c r="O49" s="34"/>
      <c r="P49" s="34"/>
    </row>
    <row r="50" spans="1:16" ht="30" customHeight="1">
      <c r="A50" s="34"/>
      <c r="B50" s="34"/>
      <c r="C50" s="34"/>
      <c r="D50" s="34"/>
      <c r="E50" s="34"/>
      <c r="F50" s="34"/>
      <c r="G50" s="34"/>
      <c r="H50" s="34"/>
      <c r="I50" s="34"/>
      <c r="J50" s="34"/>
      <c r="K50" s="34"/>
      <c r="L50" s="34"/>
      <c r="M50" s="35"/>
      <c r="N50" s="34"/>
      <c r="O50" s="34"/>
      <c r="P50" s="34"/>
    </row>
    <row r="51" spans="1:16" ht="30" customHeight="1">
      <c r="A51" s="34"/>
      <c r="B51" s="34"/>
      <c r="C51" s="34"/>
      <c r="D51" s="34"/>
      <c r="E51" s="34"/>
      <c r="F51" s="34"/>
      <c r="G51" s="34"/>
      <c r="H51" s="34"/>
      <c r="I51" s="34"/>
      <c r="J51" s="34"/>
      <c r="K51" s="34"/>
      <c r="L51" s="34"/>
      <c r="M51" s="35"/>
      <c r="N51" s="34"/>
      <c r="O51" s="34"/>
      <c r="P51" s="34"/>
    </row>
    <row r="52" spans="1:16" ht="30" customHeight="1">
      <c r="A52" s="34"/>
      <c r="B52" s="34"/>
      <c r="C52" s="34"/>
      <c r="D52" s="34"/>
      <c r="E52" s="34"/>
      <c r="F52" s="34"/>
      <c r="G52" s="34"/>
      <c r="H52" s="34"/>
      <c r="I52" s="34"/>
      <c r="J52" s="34"/>
      <c r="K52" s="34"/>
      <c r="L52" s="34"/>
      <c r="M52" s="35"/>
      <c r="N52" s="34"/>
      <c r="O52" s="34"/>
      <c r="P52" s="34"/>
    </row>
    <row r="53" spans="1:16" ht="30" customHeight="1">
      <c r="A53" s="34"/>
      <c r="B53" s="34"/>
      <c r="C53" s="34"/>
      <c r="D53" s="34"/>
      <c r="E53" s="34"/>
      <c r="F53" s="34"/>
      <c r="G53" s="34"/>
      <c r="H53" s="34"/>
      <c r="I53" s="34"/>
      <c r="J53" s="34"/>
      <c r="K53" s="34"/>
      <c r="L53" s="34"/>
      <c r="M53" s="35"/>
      <c r="N53" s="34"/>
      <c r="O53" s="34"/>
      <c r="P53" s="34"/>
    </row>
    <row r="54" spans="1:16" ht="30" customHeight="1">
      <c r="A54" s="34"/>
      <c r="B54" s="34"/>
      <c r="C54" s="34"/>
      <c r="D54" s="34"/>
      <c r="E54" s="34"/>
      <c r="F54" s="34"/>
      <c r="G54" s="34"/>
      <c r="H54" s="34"/>
      <c r="I54" s="34"/>
      <c r="J54" s="34"/>
      <c r="K54" s="34"/>
      <c r="L54" s="34"/>
      <c r="M54" s="35"/>
      <c r="N54" s="34"/>
      <c r="O54" s="34"/>
      <c r="P54" s="34"/>
    </row>
    <row r="55" spans="1:16" ht="30" customHeight="1">
      <c r="A55" s="34"/>
      <c r="B55" s="34"/>
      <c r="C55" s="34"/>
      <c r="D55" s="34"/>
      <c r="E55" s="34"/>
      <c r="F55" s="34"/>
      <c r="G55" s="34"/>
      <c r="H55" s="34"/>
      <c r="I55" s="34"/>
      <c r="J55" s="34"/>
      <c r="K55" s="34"/>
      <c r="L55" s="34"/>
      <c r="M55" s="35"/>
      <c r="N55" s="34"/>
      <c r="O55" s="34"/>
      <c r="P55" s="34"/>
    </row>
    <row r="56" spans="1:16" ht="30" customHeight="1">
      <c r="A56" s="34"/>
      <c r="B56" s="34"/>
      <c r="C56" s="34"/>
      <c r="D56" s="34"/>
      <c r="E56" s="34"/>
      <c r="F56" s="34"/>
      <c r="G56" s="34"/>
      <c r="H56" s="34"/>
      <c r="I56" s="34"/>
      <c r="J56" s="34"/>
      <c r="K56" s="34"/>
      <c r="L56" s="34"/>
      <c r="M56" s="35"/>
      <c r="N56" s="34"/>
      <c r="O56" s="34"/>
      <c r="P56" s="34"/>
    </row>
    <row r="57" spans="1:16" ht="30" customHeight="1">
      <c r="A57" s="34"/>
      <c r="B57" s="34"/>
      <c r="C57" s="34"/>
      <c r="D57" s="34"/>
      <c r="E57" s="34"/>
      <c r="F57" s="34"/>
      <c r="G57" s="34"/>
      <c r="H57" s="34"/>
      <c r="I57" s="34"/>
      <c r="J57" s="34"/>
      <c r="K57" s="34"/>
      <c r="L57" s="34"/>
      <c r="M57" s="35"/>
      <c r="N57" s="34"/>
      <c r="O57" s="34"/>
      <c r="P57" s="34"/>
    </row>
    <row r="58" spans="1:16" ht="30" customHeight="1">
      <c r="A58" s="34"/>
      <c r="B58" s="34"/>
      <c r="C58" s="34"/>
      <c r="D58" s="34"/>
      <c r="E58" s="34"/>
      <c r="F58" s="34"/>
      <c r="G58" s="34"/>
      <c r="H58" s="34"/>
      <c r="I58" s="34"/>
      <c r="J58" s="34"/>
      <c r="K58" s="34"/>
      <c r="L58" s="34"/>
      <c r="M58" s="35"/>
      <c r="N58" s="34"/>
      <c r="O58" s="34"/>
      <c r="P58" s="34"/>
    </row>
    <row r="59" spans="1:16" ht="30" customHeight="1">
      <c r="A59" s="34"/>
      <c r="B59" s="34"/>
      <c r="C59" s="34"/>
      <c r="D59" s="34"/>
      <c r="E59" s="34"/>
      <c r="F59" s="34"/>
      <c r="G59" s="34"/>
      <c r="H59" s="34"/>
      <c r="I59" s="34"/>
      <c r="J59" s="34"/>
      <c r="K59" s="34"/>
      <c r="L59" s="34"/>
      <c r="M59" s="35"/>
      <c r="N59" s="34"/>
      <c r="O59" s="34"/>
      <c r="P59" s="34"/>
    </row>
    <row r="60" spans="1:16" ht="30" customHeight="1">
      <c r="A60" s="34"/>
      <c r="B60" s="34"/>
      <c r="C60" s="34"/>
      <c r="D60" s="34"/>
      <c r="E60" s="34"/>
      <c r="F60" s="34"/>
      <c r="G60" s="34"/>
      <c r="H60" s="34"/>
      <c r="I60" s="34"/>
      <c r="J60" s="34"/>
      <c r="K60" s="34"/>
      <c r="L60" s="34"/>
      <c r="M60" s="35"/>
      <c r="N60" s="34"/>
      <c r="O60" s="34"/>
      <c r="P60" s="34"/>
    </row>
    <row r="61" spans="1:16" ht="30" customHeight="1">
      <c r="A61" s="34"/>
      <c r="B61" s="34"/>
      <c r="C61" s="34"/>
      <c r="D61" s="34"/>
      <c r="E61" s="34"/>
      <c r="F61" s="34"/>
      <c r="G61" s="34"/>
      <c r="H61" s="34"/>
      <c r="I61" s="34"/>
      <c r="J61" s="34"/>
      <c r="K61" s="34"/>
      <c r="L61" s="34"/>
      <c r="M61" s="35"/>
      <c r="N61" s="34"/>
      <c r="O61" s="34"/>
      <c r="P61" s="34"/>
    </row>
    <row r="62" spans="1:16" ht="30" customHeight="1">
      <c r="A62" s="34"/>
      <c r="B62" s="34"/>
      <c r="C62" s="34"/>
      <c r="D62" s="34"/>
      <c r="E62" s="34"/>
      <c r="F62" s="34"/>
      <c r="G62" s="34"/>
      <c r="H62" s="34"/>
      <c r="I62" s="34"/>
      <c r="J62" s="34"/>
      <c r="K62" s="34"/>
      <c r="L62" s="34"/>
      <c r="M62" s="35"/>
      <c r="N62" s="34"/>
      <c r="O62" s="34"/>
      <c r="P62" s="34"/>
    </row>
    <row r="63" spans="1:16" ht="30" customHeight="1">
      <c r="A63" s="34"/>
      <c r="B63" s="34"/>
      <c r="C63" s="34"/>
      <c r="D63" s="34"/>
      <c r="E63" s="34"/>
      <c r="F63" s="34"/>
      <c r="G63" s="34"/>
      <c r="H63" s="34"/>
      <c r="I63" s="34"/>
      <c r="J63" s="34"/>
      <c r="K63" s="34"/>
      <c r="L63" s="34"/>
      <c r="M63" s="35"/>
      <c r="N63" s="34"/>
      <c r="O63" s="34"/>
      <c r="P63" s="34"/>
    </row>
    <row r="64" spans="1:16" ht="30" customHeight="1">
      <c r="A64" s="34"/>
      <c r="B64" s="34"/>
      <c r="C64" s="34"/>
      <c r="D64" s="34"/>
      <c r="E64" s="34"/>
      <c r="F64" s="34"/>
      <c r="G64" s="34"/>
      <c r="H64" s="34"/>
      <c r="I64" s="34"/>
      <c r="J64" s="34"/>
      <c r="K64" s="34"/>
      <c r="L64" s="34"/>
      <c r="M64" s="35"/>
      <c r="N64" s="34"/>
      <c r="O64" s="34"/>
      <c r="P64" s="34"/>
    </row>
    <row r="65" spans="1:16" ht="30" customHeight="1">
      <c r="A65" s="34"/>
      <c r="B65" s="34"/>
      <c r="C65" s="34"/>
      <c r="D65" s="34"/>
      <c r="E65" s="34"/>
      <c r="F65" s="34"/>
      <c r="G65" s="34"/>
      <c r="H65" s="34"/>
      <c r="I65" s="34"/>
      <c r="J65" s="34"/>
      <c r="K65" s="34"/>
      <c r="L65" s="34"/>
      <c r="M65" s="35"/>
      <c r="N65" s="34"/>
      <c r="O65" s="34"/>
      <c r="P65" s="34"/>
    </row>
    <row r="66" spans="1:16" ht="30" customHeight="1">
      <c r="A66" s="34"/>
      <c r="B66" s="34"/>
      <c r="C66" s="34"/>
      <c r="D66" s="34"/>
      <c r="E66" s="34"/>
      <c r="F66" s="34"/>
      <c r="G66" s="34"/>
      <c r="H66" s="34"/>
      <c r="I66" s="34"/>
      <c r="J66" s="34"/>
      <c r="K66" s="34"/>
      <c r="L66" s="34"/>
      <c r="M66" s="35"/>
      <c r="N66" s="34"/>
      <c r="O66" s="34"/>
      <c r="P66" s="34"/>
    </row>
    <row r="67" spans="1:16" ht="30" customHeight="1">
      <c r="A67" s="34"/>
      <c r="B67" s="34"/>
      <c r="C67" s="34"/>
      <c r="D67" s="34"/>
      <c r="E67" s="34"/>
      <c r="F67" s="34"/>
      <c r="G67" s="34"/>
      <c r="H67" s="34"/>
      <c r="I67" s="34"/>
      <c r="J67" s="34"/>
      <c r="K67" s="34"/>
      <c r="L67" s="34"/>
      <c r="M67" s="35"/>
      <c r="N67" s="34"/>
      <c r="O67" s="34"/>
      <c r="P67" s="34"/>
    </row>
    <row r="68" spans="1:16" ht="30" customHeight="1">
      <c r="A68" s="34"/>
      <c r="B68" s="34"/>
      <c r="C68" s="34"/>
      <c r="D68" s="34"/>
      <c r="E68" s="34"/>
      <c r="F68" s="34"/>
      <c r="G68" s="34"/>
      <c r="H68" s="34"/>
      <c r="I68" s="34"/>
      <c r="J68" s="34"/>
      <c r="K68" s="34"/>
      <c r="L68" s="34"/>
      <c r="M68" s="35"/>
      <c r="N68" s="34"/>
      <c r="O68" s="34"/>
      <c r="P68" s="34"/>
    </row>
    <row r="69" spans="1:16" ht="30" customHeight="1">
      <c r="A69" s="34"/>
      <c r="B69" s="34"/>
      <c r="C69" s="34"/>
      <c r="D69" s="34"/>
      <c r="E69" s="34"/>
      <c r="F69" s="34"/>
      <c r="G69" s="34"/>
      <c r="H69" s="34"/>
      <c r="I69" s="34"/>
      <c r="J69" s="34"/>
      <c r="K69" s="34"/>
      <c r="L69" s="34"/>
      <c r="M69" s="35"/>
      <c r="N69" s="34"/>
      <c r="O69" s="34"/>
      <c r="P69" s="34"/>
    </row>
    <row r="70" spans="1:16" ht="30" customHeight="1">
      <c r="A70" s="34"/>
      <c r="B70" s="34"/>
      <c r="C70" s="34"/>
      <c r="D70" s="34"/>
      <c r="E70" s="34"/>
      <c r="F70" s="34"/>
      <c r="G70" s="34"/>
      <c r="H70" s="34"/>
      <c r="I70" s="34"/>
      <c r="J70" s="34"/>
      <c r="K70" s="34"/>
      <c r="L70" s="34"/>
      <c r="M70" s="35"/>
      <c r="N70" s="34"/>
      <c r="O70" s="34"/>
      <c r="P70" s="34"/>
    </row>
    <row r="71" spans="1:16" ht="30" customHeight="1">
      <c r="A71" s="34"/>
      <c r="B71" s="34"/>
      <c r="C71" s="34"/>
      <c r="D71" s="34"/>
      <c r="E71" s="34"/>
      <c r="F71" s="34"/>
      <c r="G71" s="34"/>
      <c r="H71" s="34"/>
      <c r="I71" s="34"/>
      <c r="J71" s="34"/>
      <c r="K71" s="34"/>
      <c r="L71" s="34"/>
      <c r="M71" s="35"/>
      <c r="N71" s="34"/>
      <c r="O71" s="34"/>
      <c r="P71" s="34"/>
    </row>
    <row r="72" spans="1:16" ht="30" customHeight="1">
      <c r="A72" s="34"/>
      <c r="B72" s="34"/>
      <c r="C72" s="34"/>
      <c r="D72" s="34"/>
      <c r="E72" s="34"/>
      <c r="F72" s="34"/>
      <c r="G72" s="34"/>
      <c r="H72" s="34"/>
      <c r="I72" s="34"/>
      <c r="J72" s="34"/>
      <c r="K72" s="34"/>
      <c r="L72" s="34"/>
      <c r="M72" s="35"/>
      <c r="N72" s="34"/>
      <c r="O72" s="34"/>
      <c r="P72" s="34"/>
    </row>
    <row r="73" spans="1:16" ht="30" customHeight="1">
      <c r="A73" s="34"/>
      <c r="B73" s="34"/>
      <c r="C73" s="34"/>
      <c r="D73" s="34"/>
      <c r="E73" s="34"/>
      <c r="F73" s="34"/>
      <c r="G73" s="34"/>
      <c r="H73" s="34"/>
      <c r="I73" s="34"/>
      <c r="J73" s="34"/>
      <c r="K73" s="34"/>
      <c r="L73" s="34"/>
      <c r="M73" s="35"/>
      <c r="N73" s="34"/>
      <c r="O73" s="34"/>
      <c r="P73" s="34"/>
    </row>
    <row r="74" spans="1:16" ht="30" customHeight="1">
      <c r="A74" s="34"/>
      <c r="B74" s="34"/>
      <c r="C74" s="34"/>
      <c r="D74" s="34"/>
      <c r="E74" s="34"/>
      <c r="F74" s="34"/>
      <c r="G74" s="34"/>
      <c r="H74" s="34"/>
      <c r="I74" s="34"/>
      <c r="J74" s="34"/>
      <c r="K74" s="34"/>
      <c r="L74" s="34"/>
      <c r="M74" s="35"/>
      <c r="N74" s="34"/>
      <c r="O74" s="34"/>
      <c r="P74" s="34"/>
    </row>
    <row r="75" spans="1:16" ht="30" customHeight="1">
      <c r="A75" s="34"/>
      <c r="B75" s="34"/>
      <c r="C75" s="34"/>
      <c r="D75" s="34"/>
      <c r="E75" s="34"/>
      <c r="F75" s="34"/>
      <c r="G75" s="34"/>
      <c r="H75" s="34"/>
      <c r="I75" s="34"/>
      <c r="J75" s="34"/>
      <c r="K75" s="34"/>
      <c r="L75" s="34"/>
      <c r="M75" s="35"/>
      <c r="N75" s="34"/>
      <c r="O75" s="34"/>
      <c r="P75" s="34"/>
    </row>
    <row r="76" spans="1:16" ht="30" customHeight="1">
      <c r="A76" s="34"/>
      <c r="B76" s="34"/>
      <c r="C76" s="34"/>
      <c r="D76" s="34"/>
      <c r="E76" s="34"/>
      <c r="F76" s="34"/>
      <c r="G76" s="34"/>
      <c r="H76" s="34"/>
      <c r="I76" s="34"/>
      <c r="J76" s="34"/>
      <c r="K76" s="34"/>
      <c r="L76" s="34"/>
      <c r="M76" s="35"/>
      <c r="N76" s="34"/>
      <c r="O76" s="34"/>
      <c r="P76" s="34"/>
    </row>
    <row r="77" spans="1:16" ht="30" customHeight="1">
      <c r="A77" s="34"/>
      <c r="B77" s="34"/>
      <c r="C77" s="34"/>
      <c r="D77" s="34"/>
      <c r="E77" s="34"/>
      <c r="F77" s="34"/>
      <c r="G77" s="34"/>
      <c r="H77" s="34"/>
      <c r="I77" s="34"/>
      <c r="J77" s="34"/>
      <c r="K77" s="34"/>
      <c r="L77" s="34"/>
      <c r="M77" s="35"/>
      <c r="N77" s="34"/>
      <c r="O77" s="34"/>
      <c r="P77" s="34"/>
    </row>
    <row r="78" spans="1:16" ht="30" customHeight="1">
      <c r="A78" s="34"/>
      <c r="B78" s="34"/>
      <c r="C78" s="34"/>
      <c r="D78" s="34"/>
      <c r="E78" s="34"/>
      <c r="F78" s="34"/>
      <c r="G78" s="34"/>
      <c r="H78" s="34"/>
      <c r="I78" s="34"/>
      <c r="J78" s="34"/>
      <c r="K78" s="34"/>
      <c r="L78" s="34"/>
      <c r="M78" s="35"/>
      <c r="N78" s="34"/>
      <c r="O78" s="34"/>
      <c r="P78" s="34"/>
    </row>
    <row r="79" spans="1:16" ht="30" customHeight="1">
      <c r="A79" s="34"/>
      <c r="B79" s="34"/>
      <c r="C79" s="34"/>
      <c r="D79" s="34"/>
      <c r="E79" s="34"/>
      <c r="F79" s="34"/>
      <c r="G79" s="34"/>
      <c r="H79" s="34"/>
      <c r="I79" s="34"/>
      <c r="J79" s="34"/>
      <c r="K79" s="34"/>
      <c r="L79" s="34"/>
      <c r="M79" s="35"/>
      <c r="N79" s="34"/>
      <c r="O79" s="34"/>
      <c r="P79" s="34"/>
    </row>
    <row r="80" spans="1:16" ht="30" customHeight="1">
      <c r="A80" s="34"/>
      <c r="B80" s="34"/>
      <c r="C80" s="34"/>
      <c r="D80" s="34"/>
      <c r="E80" s="34"/>
      <c r="F80" s="34"/>
      <c r="G80" s="34"/>
      <c r="H80" s="34"/>
      <c r="I80" s="34"/>
      <c r="J80" s="34"/>
      <c r="K80" s="34"/>
      <c r="L80" s="34"/>
      <c r="M80" s="35"/>
      <c r="N80" s="34"/>
      <c r="O80" s="34"/>
      <c r="P80" s="34"/>
    </row>
    <row r="81" spans="1:16" ht="30" customHeight="1">
      <c r="A81" s="34"/>
      <c r="B81" s="34"/>
      <c r="C81" s="34"/>
      <c r="D81" s="34"/>
      <c r="E81" s="34"/>
      <c r="F81" s="34"/>
      <c r="G81" s="34"/>
      <c r="H81" s="34"/>
      <c r="I81" s="34"/>
      <c r="J81" s="34"/>
      <c r="K81" s="34"/>
      <c r="L81" s="34"/>
      <c r="M81" s="35"/>
      <c r="N81" s="34"/>
      <c r="O81" s="34"/>
      <c r="P81" s="34"/>
    </row>
    <row r="82" spans="1:16" ht="30" customHeight="1">
      <c r="A82" s="34"/>
      <c r="B82" s="34"/>
      <c r="C82" s="34"/>
      <c r="D82" s="34"/>
      <c r="E82" s="34"/>
      <c r="F82" s="34"/>
      <c r="G82" s="34"/>
      <c r="H82" s="34"/>
      <c r="I82" s="34"/>
      <c r="J82" s="34"/>
      <c r="K82" s="34"/>
      <c r="L82" s="34"/>
      <c r="M82" s="35"/>
      <c r="N82" s="34"/>
      <c r="O82" s="34"/>
      <c r="P82" s="34"/>
    </row>
    <row r="83" spans="1:16" ht="30" customHeight="1">
      <c r="A83" s="34"/>
      <c r="B83" s="34"/>
      <c r="C83" s="34"/>
      <c r="D83" s="34"/>
      <c r="E83" s="34"/>
      <c r="F83" s="34"/>
      <c r="G83" s="34"/>
      <c r="H83" s="34"/>
      <c r="I83" s="34"/>
      <c r="J83" s="34"/>
      <c r="K83" s="34"/>
      <c r="L83" s="34"/>
      <c r="M83" s="35"/>
      <c r="N83" s="34"/>
      <c r="O83" s="34"/>
      <c r="P83" s="34"/>
    </row>
    <row r="84" spans="1:16" ht="30" customHeight="1">
      <c r="A84" s="34"/>
      <c r="B84" s="34"/>
      <c r="C84" s="34"/>
      <c r="D84" s="34"/>
      <c r="E84" s="34"/>
      <c r="F84" s="34"/>
      <c r="G84" s="34"/>
      <c r="H84" s="34"/>
      <c r="I84" s="34"/>
      <c r="J84" s="34"/>
      <c r="K84" s="34"/>
      <c r="L84" s="34"/>
      <c r="M84" s="35"/>
      <c r="N84" s="34"/>
      <c r="O84" s="34"/>
      <c r="P84" s="34"/>
    </row>
    <row r="85" spans="1:16" ht="30" customHeight="1">
      <c r="A85" s="34"/>
      <c r="B85" s="34"/>
      <c r="C85" s="34"/>
      <c r="D85" s="34"/>
      <c r="E85" s="34"/>
      <c r="F85" s="34"/>
      <c r="G85" s="34"/>
      <c r="H85" s="34"/>
      <c r="I85" s="34"/>
      <c r="J85" s="34"/>
      <c r="K85" s="34"/>
      <c r="L85" s="34"/>
      <c r="M85" s="35"/>
      <c r="N85" s="34"/>
      <c r="O85" s="34"/>
      <c r="P85" s="34"/>
    </row>
    <row r="86" spans="1:16" ht="30" customHeight="1">
      <c r="A86" s="34"/>
      <c r="B86" s="34"/>
      <c r="C86" s="34"/>
      <c r="D86" s="34"/>
      <c r="E86" s="34"/>
      <c r="F86" s="34"/>
      <c r="G86" s="34"/>
      <c r="H86" s="34"/>
      <c r="I86" s="34"/>
      <c r="J86" s="34"/>
      <c r="K86" s="34"/>
      <c r="L86" s="34"/>
      <c r="M86" s="35"/>
      <c r="N86" s="34"/>
      <c r="O86" s="34"/>
      <c r="P86" s="34"/>
    </row>
    <row r="87" spans="1:16" ht="30" customHeight="1">
      <c r="A87" s="34"/>
      <c r="B87" s="34"/>
      <c r="C87" s="34"/>
      <c r="D87" s="34"/>
      <c r="E87" s="34"/>
      <c r="F87" s="34"/>
      <c r="G87" s="34"/>
      <c r="H87" s="34"/>
      <c r="I87" s="34"/>
      <c r="J87" s="34"/>
      <c r="K87" s="34"/>
      <c r="L87" s="34"/>
      <c r="M87" s="35"/>
      <c r="N87" s="34"/>
      <c r="O87" s="34"/>
      <c r="P87" s="34"/>
    </row>
    <row r="88" spans="1:16" ht="30" customHeight="1">
      <c r="A88" s="34"/>
      <c r="B88" s="34"/>
      <c r="C88" s="34"/>
      <c r="D88" s="34"/>
      <c r="E88" s="34"/>
      <c r="F88" s="34"/>
      <c r="G88" s="34"/>
      <c r="H88" s="34"/>
      <c r="I88" s="34"/>
      <c r="J88" s="34"/>
      <c r="K88" s="34"/>
      <c r="L88" s="34"/>
      <c r="M88" s="35"/>
      <c r="N88" s="34"/>
      <c r="O88" s="34"/>
      <c r="P88" s="34"/>
    </row>
    <row r="89" spans="1:16" ht="30" customHeight="1">
      <c r="A89" s="34"/>
      <c r="B89" s="34"/>
      <c r="C89" s="34"/>
      <c r="D89" s="34"/>
      <c r="E89" s="34"/>
      <c r="F89" s="34"/>
      <c r="G89" s="34"/>
      <c r="H89" s="34"/>
      <c r="I89" s="34"/>
      <c r="J89" s="34"/>
      <c r="K89" s="34"/>
      <c r="L89" s="34"/>
      <c r="M89" s="35"/>
      <c r="N89" s="34"/>
      <c r="O89" s="34"/>
      <c r="P89" s="34"/>
    </row>
    <row r="90" spans="1:16" ht="30" customHeight="1">
      <c r="A90" s="34"/>
      <c r="B90" s="34"/>
      <c r="C90" s="34"/>
      <c r="D90" s="34"/>
      <c r="E90" s="34"/>
      <c r="F90" s="34"/>
      <c r="G90" s="34"/>
      <c r="H90" s="34"/>
      <c r="I90" s="34"/>
      <c r="J90" s="34"/>
      <c r="K90" s="34"/>
      <c r="L90" s="34"/>
      <c r="M90" s="35"/>
      <c r="N90" s="34"/>
      <c r="O90" s="34"/>
      <c r="P90" s="34"/>
    </row>
    <row r="91" spans="1:16" ht="30" customHeight="1">
      <c r="A91" s="34"/>
      <c r="B91" s="34"/>
      <c r="C91" s="34"/>
      <c r="D91" s="34"/>
      <c r="E91" s="34"/>
      <c r="F91" s="34"/>
      <c r="G91" s="34"/>
      <c r="H91" s="34"/>
      <c r="I91" s="34"/>
      <c r="J91" s="34"/>
      <c r="K91" s="34"/>
      <c r="L91" s="34"/>
      <c r="M91" s="35"/>
      <c r="N91" s="34"/>
      <c r="O91" s="34"/>
      <c r="P91" s="34"/>
    </row>
    <row r="92" spans="1:16" ht="30" customHeight="1">
      <c r="A92" s="34"/>
      <c r="B92" s="34"/>
      <c r="C92" s="34"/>
      <c r="D92" s="34"/>
      <c r="E92" s="34"/>
      <c r="F92" s="34"/>
      <c r="G92" s="34"/>
      <c r="H92" s="34"/>
      <c r="I92" s="34"/>
      <c r="J92" s="34"/>
      <c r="K92" s="34"/>
      <c r="L92" s="34"/>
      <c r="M92" s="35"/>
      <c r="N92" s="34"/>
      <c r="O92" s="34"/>
      <c r="P92" s="34"/>
    </row>
    <row r="93" spans="1:16" ht="30" customHeight="1">
      <c r="A93" s="34"/>
      <c r="B93" s="34"/>
      <c r="C93" s="34"/>
      <c r="D93" s="34"/>
      <c r="E93" s="34"/>
      <c r="F93" s="34"/>
      <c r="G93" s="34"/>
      <c r="H93" s="34"/>
      <c r="I93" s="34"/>
      <c r="J93" s="34"/>
      <c r="K93" s="34"/>
      <c r="L93" s="34"/>
      <c r="M93" s="35"/>
      <c r="N93" s="34"/>
      <c r="O93" s="34"/>
      <c r="P93" s="34"/>
    </row>
    <row r="94" spans="1:16" ht="30" customHeight="1">
      <c r="A94" s="34"/>
      <c r="B94" s="34"/>
      <c r="C94" s="34"/>
      <c r="D94" s="34"/>
      <c r="E94" s="34"/>
      <c r="F94" s="34"/>
      <c r="G94" s="34"/>
      <c r="H94" s="34"/>
      <c r="I94" s="34"/>
      <c r="J94" s="34"/>
      <c r="K94" s="34"/>
      <c r="L94" s="34"/>
      <c r="M94" s="35"/>
      <c r="N94" s="34"/>
      <c r="O94" s="34"/>
      <c r="P94" s="34"/>
    </row>
    <row r="95" spans="1:16" ht="30" customHeight="1">
      <c r="A95" s="34"/>
      <c r="B95" s="34"/>
      <c r="C95" s="34"/>
      <c r="D95" s="34"/>
      <c r="E95" s="34"/>
      <c r="F95" s="34"/>
      <c r="G95" s="34"/>
      <c r="H95" s="34"/>
      <c r="I95" s="34"/>
      <c r="J95" s="34"/>
      <c r="K95" s="34"/>
      <c r="L95" s="34"/>
      <c r="M95" s="35"/>
      <c r="N95" s="34"/>
      <c r="O95" s="34"/>
      <c r="P95" s="34"/>
    </row>
    <row r="96" spans="1:16" ht="30" customHeight="1">
      <c r="A96" s="34"/>
      <c r="B96" s="34"/>
      <c r="C96" s="34"/>
      <c r="D96" s="34"/>
      <c r="E96" s="34"/>
      <c r="F96" s="34"/>
      <c r="G96" s="34"/>
      <c r="H96" s="34"/>
      <c r="I96" s="34"/>
      <c r="J96" s="34"/>
      <c r="K96" s="34"/>
      <c r="L96" s="34"/>
      <c r="M96" s="35"/>
      <c r="N96" s="34"/>
      <c r="O96" s="34"/>
      <c r="P96" s="34"/>
    </row>
    <row r="97" spans="1:16" ht="30" customHeight="1">
      <c r="A97" s="34"/>
      <c r="B97" s="34"/>
      <c r="C97" s="34"/>
      <c r="D97" s="34"/>
      <c r="E97" s="34"/>
      <c r="F97" s="34"/>
      <c r="G97" s="34"/>
      <c r="H97" s="34"/>
      <c r="I97" s="34"/>
      <c r="J97" s="34"/>
      <c r="K97" s="34"/>
      <c r="L97" s="34"/>
      <c r="M97" s="35"/>
      <c r="N97" s="34"/>
      <c r="O97" s="34"/>
      <c r="P97" s="34"/>
    </row>
    <row r="98" spans="1:16" ht="30" customHeight="1">
      <c r="A98" s="34"/>
      <c r="B98" s="34"/>
      <c r="C98" s="34"/>
      <c r="D98" s="34"/>
      <c r="E98" s="34"/>
      <c r="F98" s="34"/>
      <c r="G98" s="34"/>
      <c r="H98" s="34"/>
      <c r="I98" s="34"/>
      <c r="J98" s="34"/>
      <c r="K98" s="34"/>
      <c r="L98" s="34"/>
      <c r="M98" s="35"/>
      <c r="N98" s="34"/>
      <c r="O98" s="34"/>
      <c r="P98" s="34"/>
    </row>
    <row r="99" spans="1:16" ht="30" customHeight="1">
      <c r="A99" s="34"/>
      <c r="B99" s="34"/>
      <c r="C99" s="34"/>
      <c r="D99" s="34"/>
      <c r="E99" s="34"/>
      <c r="F99" s="34"/>
      <c r="G99" s="34"/>
      <c r="H99" s="34"/>
      <c r="I99" s="34"/>
      <c r="J99" s="34"/>
      <c r="K99" s="34"/>
      <c r="L99" s="34"/>
      <c r="M99" s="35"/>
      <c r="N99" s="34"/>
      <c r="O99" s="34"/>
      <c r="P99" s="34"/>
    </row>
    <row r="100" spans="1:16" ht="30" customHeight="1">
      <c r="A100" s="34"/>
      <c r="B100" s="34"/>
      <c r="C100" s="34"/>
      <c r="D100" s="34"/>
      <c r="E100" s="34"/>
      <c r="F100" s="34"/>
      <c r="G100" s="34"/>
      <c r="H100" s="34"/>
      <c r="I100" s="34"/>
      <c r="J100" s="34"/>
      <c r="K100" s="34"/>
      <c r="L100" s="34"/>
      <c r="M100" s="35"/>
      <c r="N100" s="34"/>
      <c r="O100" s="34"/>
      <c r="P100" s="34"/>
    </row>
    <row r="101" spans="1:16" ht="30" customHeight="1">
      <c r="A101" s="34"/>
      <c r="B101" s="34"/>
      <c r="C101" s="34"/>
      <c r="D101" s="34"/>
      <c r="E101" s="34"/>
      <c r="F101" s="34"/>
      <c r="G101" s="34"/>
      <c r="H101" s="34"/>
      <c r="I101" s="34"/>
      <c r="J101" s="34"/>
      <c r="K101" s="34"/>
      <c r="L101" s="34"/>
      <c r="M101" s="35"/>
      <c r="N101" s="34"/>
      <c r="O101" s="34"/>
      <c r="P101" s="34"/>
    </row>
    <row r="102" spans="1:16" ht="30" customHeight="1">
      <c r="A102" s="34"/>
      <c r="B102" s="34"/>
      <c r="C102" s="34"/>
      <c r="D102" s="34"/>
      <c r="E102" s="34"/>
      <c r="F102" s="34"/>
      <c r="G102" s="34"/>
      <c r="H102" s="34"/>
      <c r="I102" s="34"/>
      <c r="J102" s="34"/>
      <c r="K102" s="34"/>
      <c r="L102" s="34"/>
      <c r="M102" s="35"/>
      <c r="N102" s="34"/>
      <c r="O102" s="34"/>
      <c r="P102" s="34"/>
    </row>
    <row r="103" spans="1:16" ht="30" customHeight="1">
      <c r="A103" s="34"/>
      <c r="B103" s="34"/>
      <c r="C103" s="34"/>
      <c r="D103" s="34"/>
      <c r="E103" s="34"/>
      <c r="F103" s="34"/>
      <c r="G103" s="34"/>
      <c r="H103" s="34"/>
      <c r="I103" s="34"/>
      <c r="J103" s="34"/>
      <c r="K103" s="34"/>
      <c r="L103" s="34"/>
      <c r="M103" s="35"/>
      <c r="N103" s="34"/>
      <c r="O103" s="34"/>
      <c r="P103" s="34"/>
    </row>
    <row r="104" spans="1:16" ht="30" customHeight="1">
      <c r="A104" s="34"/>
      <c r="B104" s="34"/>
      <c r="C104" s="34"/>
      <c r="D104" s="34"/>
      <c r="E104" s="34"/>
      <c r="F104" s="34"/>
      <c r="G104" s="34"/>
      <c r="H104" s="34"/>
      <c r="I104" s="34"/>
      <c r="J104" s="34"/>
      <c r="K104" s="34"/>
      <c r="L104" s="34"/>
      <c r="M104" s="35"/>
      <c r="N104" s="34"/>
      <c r="O104" s="34"/>
      <c r="P104" s="34"/>
    </row>
    <row r="105" spans="1:16" ht="30" customHeight="1">
      <c r="A105" s="34"/>
      <c r="B105" s="34"/>
      <c r="C105" s="34"/>
      <c r="D105" s="34"/>
      <c r="E105" s="34"/>
      <c r="F105" s="34"/>
      <c r="G105" s="34"/>
      <c r="H105" s="34"/>
      <c r="I105" s="34"/>
      <c r="J105" s="34"/>
      <c r="K105" s="34"/>
      <c r="L105" s="34"/>
      <c r="M105" s="35"/>
      <c r="N105" s="34"/>
      <c r="O105" s="34"/>
      <c r="P105" s="34"/>
    </row>
    <row r="106" spans="1:16" ht="30" customHeight="1">
      <c r="A106" s="34"/>
      <c r="B106" s="34"/>
      <c r="C106" s="34"/>
      <c r="D106" s="34"/>
      <c r="E106" s="34"/>
      <c r="F106" s="34"/>
      <c r="G106" s="34"/>
      <c r="H106" s="34"/>
      <c r="I106" s="34"/>
      <c r="J106" s="34"/>
      <c r="K106" s="34"/>
      <c r="L106" s="34"/>
      <c r="M106" s="35"/>
      <c r="N106" s="34"/>
      <c r="O106" s="34"/>
      <c r="P106" s="34"/>
    </row>
    <row r="107" spans="1:16" ht="30" customHeight="1">
      <c r="A107" s="34"/>
      <c r="B107" s="34"/>
      <c r="C107" s="34"/>
      <c r="D107" s="34"/>
      <c r="E107" s="34"/>
      <c r="F107" s="34"/>
      <c r="G107" s="34"/>
      <c r="H107" s="34"/>
      <c r="I107" s="34"/>
      <c r="J107" s="34"/>
      <c r="K107" s="34"/>
      <c r="L107" s="34"/>
      <c r="M107" s="35"/>
      <c r="N107" s="34"/>
      <c r="O107" s="34"/>
      <c r="P107" s="34"/>
    </row>
    <row r="108" spans="1:16" ht="30" customHeight="1">
      <c r="A108" s="34"/>
      <c r="B108" s="34"/>
      <c r="C108" s="34"/>
      <c r="D108" s="34"/>
      <c r="E108" s="34"/>
      <c r="F108" s="34"/>
      <c r="G108" s="34"/>
      <c r="H108" s="34"/>
      <c r="I108" s="34"/>
      <c r="J108" s="34"/>
      <c r="K108" s="34"/>
      <c r="L108" s="34"/>
      <c r="M108" s="35"/>
      <c r="N108" s="34"/>
      <c r="O108" s="34"/>
      <c r="P108" s="34"/>
    </row>
    <row r="109" spans="1:16" ht="30" customHeight="1">
      <c r="A109" s="34"/>
      <c r="B109" s="34"/>
      <c r="C109" s="34"/>
      <c r="D109" s="34"/>
      <c r="E109" s="34"/>
      <c r="F109" s="34"/>
      <c r="G109" s="34"/>
      <c r="H109" s="34"/>
      <c r="I109" s="34"/>
      <c r="J109" s="34"/>
      <c r="K109" s="34"/>
      <c r="L109" s="34"/>
      <c r="M109" s="35"/>
      <c r="N109" s="34"/>
      <c r="O109" s="34"/>
      <c r="P109" s="34"/>
    </row>
    <row r="110" spans="1:16" ht="30" customHeight="1">
      <c r="A110" s="34"/>
      <c r="B110" s="34"/>
      <c r="C110" s="34"/>
      <c r="D110" s="34"/>
      <c r="E110" s="34"/>
      <c r="F110" s="34"/>
      <c r="G110" s="34"/>
      <c r="H110" s="34"/>
      <c r="I110" s="34"/>
      <c r="J110" s="34"/>
      <c r="K110" s="34"/>
      <c r="L110" s="34"/>
      <c r="M110" s="35"/>
      <c r="N110" s="34"/>
      <c r="O110" s="34"/>
      <c r="P110" s="34"/>
    </row>
    <row r="111" spans="1:16" ht="30" customHeight="1">
      <c r="A111" s="34"/>
      <c r="B111" s="34"/>
      <c r="C111" s="34"/>
      <c r="D111" s="34"/>
      <c r="E111" s="34"/>
      <c r="F111" s="34"/>
      <c r="G111" s="34"/>
      <c r="H111" s="34"/>
      <c r="I111" s="34"/>
      <c r="J111" s="34"/>
      <c r="K111" s="34"/>
      <c r="L111" s="34"/>
      <c r="M111" s="35"/>
      <c r="N111" s="34"/>
      <c r="O111" s="34"/>
      <c r="P111" s="34"/>
    </row>
    <row r="112" spans="1:16" ht="30" customHeight="1">
      <c r="A112" s="34"/>
      <c r="B112" s="34"/>
      <c r="C112" s="34"/>
      <c r="D112" s="34"/>
      <c r="E112" s="34"/>
      <c r="F112" s="34"/>
      <c r="G112" s="34"/>
      <c r="H112" s="34"/>
      <c r="I112" s="34"/>
      <c r="J112" s="34"/>
      <c r="K112" s="34"/>
      <c r="L112" s="34"/>
      <c r="M112" s="35"/>
      <c r="N112" s="34"/>
      <c r="O112" s="34"/>
      <c r="P112" s="34"/>
    </row>
    <row r="113" spans="1:16" ht="30" customHeight="1">
      <c r="A113" s="34"/>
      <c r="B113" s="34"/>
      <c r="C113" s="34"/>
      <c r="D113" s="34"/>
      <c r="E113" s="34"/>
      <c r="F113" s="34"/>
      <c r="G113" s="34"/>
      <c r="H113" s="34"/>
      <c r="I113" s="34"/>
      <c r="J113" s="34"/>
      <c r="K113" s="34"/>
      <c r="L113" s="34"/>
      <c r="M113" s="35"/>
      <c r="N113" s="34"/>
      <c r="O113" s="34"/>
      <c r="P113" s="34"/>
    </row>
    <row r="114" spans="1:16" ht="30" customHeight="1">
      <c r="A114" s="34"/>
      <c r="B114" s="34"/>
      <c r="C114" s="34"/>
      <c r="D114" s="34"/>
      <c r="E114" s="34"/>
      <c r="F114" s="34"/>
      <c r="G114" s="34"/>
      <c r="H114" s="34"/>
      <c r="I114" s="34"/>
      <c r="J114" s="34"/>
      <c r="K114" s="34"/>
      <c r="L114" s="34"/>
      <c r="M114" s="35"/>
      <c r="N114" s="34"/>
      <c r="O114" s="34"/>
      <c r="P114" s="34"/>
    </row>
    <row r="115" spans="1:16" ht="30" customHeight="1">
      <c r="A115" s="34"/>
      <c r="B115" s="34"/>
      <c r="C115" s="34"/>
      <c r="D115" s="34"/>
      <c r="E115" s="34"/>
      <c r="F115" s="34"/>
      <c r="G115" s="34"/>
      <c r="H115" s="34"/>
      <c r="I115" s="34"/>
      <c r="J115" s="34"/>
      <c r="K115" s="34"/>
      <c r="L115" s="34"/>
      <c r="M115" s="35"/>
      <c r="N115" s="34"/>
      <c r="O115" s="34"/>
      <c r="P115" s="34"/>
    </row>
    <row r="116" spans="1:16" ht="30" customHeight="1">
      <c r="A116" s="34"/>
      <c r="B116" s="34"/>
      <c r="C116" s="34"/>
      <c r="D116" s="34"/>
      <c r="E116" s="34"/>
      <c r="F116" s="34"/>
      <c r="G116" s="34"/>
      <c r="H116" s="34"/>
      <c r="I116" s="34"/>
      <c r="J116" s="34"/>
      <c r="K116" s="34"/>
      <c r="L116" s="34"/>
      <c r="M116" s="35"/>
      <c r="N116" s="34"/>
      <c r="O116" s="34"/>
      <c r="P116" s="34"/>
    </row>
    <row r="117" spans="1:16" ht="30" customHeight="1">
      <c r="A117" s="34"/>
      <c r="B117" s="34"/>
      <c r="C117" s="34"/>
      <c r="D117" s="34"/>
      <c r="E117" s="34"/>
      <c r="F117" s="34"/>
      <c r="G117" s="34"/>
      <c r="H117" s="34"/>
      <c r="I117" s="34"/>
      <c r="J117" s="34"/>
      <c r="K117" s="34"/>
      <c r="L117" s="34"/>
      <c r="M117" s="35"/>
      <c r="N117" s="34"/>
      <c r="O117" s="34"/>
      <c r="P117" s="34"/>
    </row>
    <row r="118" spans="1:16" ht="30" customHeight="1">
      <c r="A118" s="34"/>
      <c r="B118" s="34"/>
      <c r="C118" s="34"/>
      <c r="D118" s="34"/>
      <c r="E118" s="34"/>
      <c r="F118" s="34"/>
      <c r="G118" s="34"/>
      <c r="H118" s="34"/>
      <c r="I118" s="34"/>
      <c r="J118" s="34"/>
      <c r="K118" s="34"/>
      <c r="L118" s="34"/>
      <c r="M118" s="35"/>
      <c r="N118" s="34"/>
      <c r="O118" s="34"/>
      <c r="P118" s="34"/>
    </row>
    <row r="119" spans="1:16" ht="30" customHeight="1">
      <c r="A119" s="34"/>
      <c r="B119" s="34"/>
      <c r="C119" s="34"/>
      <c r="D119" s="34"/>
      <c r="E119" s="34"/>
      <c r="F119" s="34"/>
      <c r="G119" s="34"/>
      <c r="H119" s="34"/>
      <c r="I119" s="34"/>
      <c r="J119" s="34"/>
      <c r="K119" s="34"/>
      <c r="L119" s="34"/>
      <c r="M119" s="35"/>
      <c r="N119" s="34"/>
      <c r="O119" s="34"/>
      <c r="P119" s="34"/>
    </row>
    <row r="120" spans="1:16" ht="30" customHeight="1">
      <c r="A120" s="34"/>
      <c r="B120" s="34"/>
      <c r="C120" s="34"/>
      <c r="D120" s="34"/>
      <c r="E120" s="34"/>
      <c r="F120" s="34"/>
      <c r="G120" s="34"/>
      <c r="H120" s="34"/>
      <c r="I120" s="34"/>
      <c r="J120" s="34"/>
      <c r="K120" s="34"/>
      <c r="L120" s="34"/>
      <c r="M120" s="35"/>
      <c r="N120" s="34"/>
      <c r="O120" s="34"/>
      <c r="P120" s="34"/>
    </row>
    <row r="121" spans="1:16" ht="30" customHeight="1">
      <c r="A121" s="34"/>
      <c r="B121" s="34"/>
      <c r="C121" s="34"/>
      <c r="D121" s="34"/>
      <c r="E121" s="34"/>
      <c r="F121" s="34"/>
      <c r="G121" s="34"/>
      <c r="H121" s="34"/>
      <c r="I121" s="34"/>
      <c r="J121" s="34"/>
      <c r="K121" s="34"/>
      <c r="L121" s="34"/>
      <c r="M121" s="35"/>
      <c r="N121" s="34"/>
      <c r="O121" s="34"/>
      <c r="P121" s="34"/>
    </row>
    <row r="122" spans="1:16" ht="30" customHeight="1">
      <c r="A122" s="34"/>
      <c r="B122" s="34"/>
      <c r="C122" s="34"/>
      <c r="D122" s="34"/>
      <c r="E122" s="34"/>
      <c r="F122" s="34"/>
      <c r="G122" s="34"/>
      <c r="H122" s="34"/>
      <c r="I122" s="34"/>
      <c r="J122" s="34"/>
      <c r="K122" s="34"/>
      <c r="L122" s="34"/>
      <c r="M122" s="35"/>
      <c r="N122" s="34"/>
      <c r="O122" s="34"/>
      <c r="P122" s="34"/>
    </row>
    <row r="123" spans="1:16" ht="30" customHeight="1">
      <c r="A123" s="34"/>
      <c r="B123" s="34"/>
      <c r="C123" s="34"/>
      <c r="D123" s="34"/>
      <c r="E123" s="34"/>
      <c r="F123" s="34"/>
      <c r="G123" s="34"/>
      <c r="H123" s="34"/>
      <c r="I123" s="34"/>
      <c r="J123" s="34"/>
      <c r="K123" s="34"/>
      <c r="L123" s="34"/>
      <c r="M123" s="35"/>
      <c r="N123" s="34"/>
      <c r="O123" s="34"/>
      <c r="P123" s="34"/>
    </row>
    <row r="124" spans="1:16" ht="30" customHeight="1">
      <c r="A124" s="34"/>
      <c r="B124" s="34"/>
      <c r="C124" s="34"/>
      <c r="D124" s="34"/>
      <c r="E124" s="34"/>
      <c r="F124" s="34"/>
      <c r="G124" s="34"/>
      <c r="H124" s="34"/>
      <c r="I124" s="34"/>
      <c r="J124" s="34"/>
      <c r="K124" s="34"/>
      <c r="L124" s="34"/>
      <c r="M124" s="35"/>
      <c r="N124" s="34"/>
      <c r="O124" s="34"/>
      <c r="P124" s="34"/>
    </row>
    <row r="125" spans="1:16" ht="30" customHeight="1">
      <c r="A125" s="34"/>
      <c r="B125" s="34"/>
      <c r="C125" s="34"/>
      <c r="D125" s="34"/>
      <c r="E125" s="34"/>
      <c r="F125" s="34"/>
      <c r="G125" s="34"/>
      <c r="H125" s="34"/>
      <c r="I125" s="34"/>
      <c r="J125" s="34"/>
      <c r="K125" s="34"/>
      <c r="L125" s="34"/>
      <c r="M125" s="35"/>
      <c r="N125" s="34"/>
      <c r="O125" s="34"/>
      <c r="P125" s="34"/>
    </row>
    <row r="126" spans="1:16" ht="30" customHeight="1">
      <c r="A126" s="34"/>
      <c r="B126" s="34"/>
      <c r="C126" s="34"/>
      <c r="D126" s="34"/>
      <c r="E126" s="34"/>
      <c r="F126" s="34"/>
      <c r="G126" s="34"/>
      <c r="H126" s="34"/>
      <c r="I126" s="34"/>
      <c r="J126" s="34"/>
      <c r="K126" s="34"/>
      <c r="L126" s="34"/>
      <c r="M126" s="35"/>
      <c r="N126" s="34"/>
      <c r="O126" s="34"/>
      <c r="P126" s="34"/>
    </row>
    <row r="127" spans="1:16" ht="30" customHeight="1">
      <c r="A127" s="34"/>
      <c r="B127" s="34"/>
      <c r="C127" s="34"/>
      <c r="D127" s="34"/>
      <c r="E127" s="34"/>
      <c r="F127" s="34"/>
      <c r="G127" s="34"/>
      <c r="H127" s="34"/>
      <c r="I127" s="34"/>
      <c r="J127" s="34"/>
      <c r="K127" s="34"/>
      <c r="L127" s="34"/>
      <c r="M127" s="35"/>
      <c r="N127" s="34"/>
      <c r="O127" s="34"/>
      <c r="P127" s="34"/>
    </row>
    <row r="128" spans="1:16" ht="30" customHeight="1">
      <c r="A128" s="34"/>
      <c r="B128" s="34"/>
      <c r="C128" s="34"/>
      <c r="D128" s="34"/>
      <c r="E128" s="34"/>
      <c r="F128" s="34"/>
      <c r="G128" s="34"/>
      <c r="H128" s="34"/>
      <c r="I128" s="34"/>
      <c r="J128" s="34"/>
      <c r="K128" s="34"/>
      <c r="L128" s="34"/>
      <c r="M128" s="35"/>
      <c r="N128" s="34"/>
      <c r="O128" s="34"/>
      <c r="P128" s="34"/>
    </row>
    <row r="129" spans="1:16" ht="30" customHeight="1">
      <c r="A129" s="34"/>
      <c r="B129" s="34"/>
      <c r="C129" s="34"/>
      <c r="D129" s="34"/>
      <c r="E129" s="34"/>
      <c r="F129" s="34"/>
      <c r="G129" s="34"/>
      <c r="H129" s="34"/>
      <c r="I129" s="34"/>
      <c r="J129" s="34"/>
      <c r="K129" s="34"/>
      <c r="L129" s="34"/>
      <c r="M129" s="35"/>
      <c r="N129" s="34"/>
      <c r="O129" s="34"/>
      <c r="P129" s="34"/>
    </row>
    <row r="130" spans="1:16" ht="30" customHeight="1">
      <c r="A130" s="34"/>
      <c r="B130" s="34"/>
      <c r="C130" s="34"/>
      <c r="D130" s="34"/>
      <c r="E130" s="34"/>
      <c r="F130" s="34"/>
      <c r="G130" s="34"/>
      <c r="H130" s="34"/>
      <c r="I130" s="34"/>
      <c r="J130" s="34"/>
      <c r="K130" s="34"/>
      <c r="L130" s="34"/>
      <c r="M130" s="35"/>
      <c r="N130" s="34"/>
      <c r="O130" s="34"/>
      <c r="P130" s="34"/>
    </row>
    <row r="131" spans="1:16" ht="30" customHeight="1">
      <c r="A131" s="34"/>
      <c r="B131" s="34"/>
      <c r="C131" s="34"/>
      <c r="D131" s="34"/>
      <c r="E131" s="34"/>
      <c r="F131" s="34"/>
      <c r="G131" s="34"/>
      <c r="H131" s="34"/>
      <c r="I131" s="34"/>
      <c r="J131" s="34"/>
      <c r="K131" s="34"/>
      <c r="L131" s="34"/>
      <c r="M131" s="35"/>
      <c r="N131" s="34"/>
      <c r="O131" s="34"/>
      <c r="P131" s="34"/>
    </row>
    <row r="132" spans="1:16" ht="30" customHeight="1">
      <c r="A132" s="34"/>
      <c r="B132" s="34"/>
      <c r="C132" s="34"/>
      <c r="D132" s="34"/>
      <c r="E132" s="34"/>
      <c r="F132" s="34"/>
      <c r="G132" s="34"/>
      <c r="H132" s="34"/>
      <c r="I132" s="34"/>
      <c r="J132" s="34"/>
      <c r="K132" s="34"/>
      <c r="L132" s="34"/>
      <c r="M132" s="35"/>
      <c r="N132" s="34"/>
      <c r="O132" s="34"/>
      <c r="P132" s="34"/>
    </row>
    <row r="133" spans="1:16" ht="30" customHeight="1">
      <c r="A133" s="34"/>
      <c r="B133" s="34"/>
      <c r="C133" s="34"/>
      <c r="D133" s="34"/>
      <c r="E133" s="34"/>
      <c r="F133" s="34"/>
      <c r="G133" s="34"/>
      <c r="H133" s="34"/>
      <c r="I133" s="34"/>
      <c r="J133" s="34"/>
      <c r="K133" s="34"/>
      <c r="L133" s="34"/>
      <c r="M133" s="35"/>
      <c r="N133" s="34"/>
      <c r="O133" s="34"/>
      <c r="P133" s="34"/>
    </row>
    <row r="134" spans="1:16" ht="30" customHeight="1">
      <c r="A134" s="34"/>
      <c r="B134" s="34"/>
      <c r="C134" s="34"/>
      <c r="D134" s="34"/>
      <c r="E134" s="34"/>
      <c r="F134" s="34"/>
      <c r="G134" s="34"/>
      <c r="H134" s="34"/>
      <c r="I134" s="34"/>
      <c r="J134" s="34"/>
      <c r="K134" s="34"/>
      <c r="L134" s="34"/>
      <c r="M134" s="35"/>
      <c r="N134" s="34"/>
      <c r="O134" s="34"/>
      <c r="P134" s="34"/>
    </row>
    <row r="135" spans="1:16" ht="30" customHeight="1">
      <c r="A135" s="34"/>
      <c r="B135" s="34"/>
      <c r="C135" s="34"/>
      <c r="D135" s="34"/>
      <c r="E135" s="34"/>
      <c r="F135" s="34"/>
      <c r="G135" s="34"/>
      <c r="H135" s="34"/>
      <c r="I135" s="34"/>
      <c r="J135" s="34"/>
      <c r="K135" s="34"/>
      <c r="L135" s="34"/>
      <c r="M135" s="35"/>
      <c r="N135" s="34"/>
      <c r="O135" s="34"/>
      <c r="P135" s="34"/>
    </row>
    <row r="136" spans="1:16" ht="30" customHeight="1">
      <c r="A136" s="34"/>
      <c r="B136" s="34"/>
      <c r="C136" s="34"/>
      <c r="D136" s="34"/>
      <c r="E136" s="34"/>
      <c r="F136" s="34"/>
      <c r="G136" s="34"/>
      <c r="H136" s="34"/>
      <c r="I136" s="34"/>
      <c r="J136" s="34"/>
      <c r="K136" s="34"/>
      <c r="L136" s="34"/>
      <c r="M136" s="35"/>
      <c r="N136" s="34"/>
      <c r="O136" s="34"/>
      <c r="P136" s="34"/>
    </row>
    <row r="137" spans="1:16" ht="30" customHeight="1">
      <c r="A137" s="34"/>
      <c r="B137" s="34"/>
      <c r="C137" s="34"/>
      <c r="D137" s="34"/>
      <c r="E137" s="34"/>
      <c r="F137" s="34"/>
      <c r="G137" s="34"/>
      <c r="H137" s="34"/>
      <c r="I137" s="34"/>
      <c r="J137" s="34"/>
      <c r="K137" s="34"/>
      <c r="L137" s="34"/>
      <c r="M137" s="35"/>
      <c r="N137" s="34"/>
      <c r="O137" s="34"/>
      <c r="P137" s="34"/>
    </row>
    <row r="138" spans="1:16" ht="30" customHeight="1">
      <c r="A138" s="34"/>
      <c r="B138" s="34"/>
      <c r="C138" s="34"/>
      <c r="D138" s="34"/>
      <c r="E138" s="34"/>
      <c r="F138" s="34"/>
      <c r="G138" s="34"/>
      <c r="H138" s="34"/>
      <c r="I138" s="34"/>
      <c r="J138" s="34"/>
      <c r="K138" s="34"/>
      <c r="L138" s="34"/>
      <c r="M138" s="35"/>
      <c r="N138" s="34"/>
      <c r="O138" s="34"/>
      <c r="P138" s="34"/>
    </row>
    <row r="139" spans="1:16" ht="30" customHeight="1">
      <c r="A139" s="34"/>
      <c r="B139" s="34"/>
      <c r="C139" s="34"/>
      <c r="D139" s="34"/>
      <c r="E139" s="34"/>
      <c r="F139" s="34"/>
      <c r="G139" s="34"/>
      <c r="H139" s="34"/>
      <c r="I139" s="34"/>
      <c r="J139" s="34"/>
      <c r="K139" s="34"/>
      <c r="L139" s="34"/>
      <c r="M139" s="35"/>
      <c r="N139" s="34"/>
      <c r="O139" s="34"/>
      <c r="P139" s="34"/>
    </row>
    <row r="140" spans="1:16" ht="30" customHeight="1">
      <c r="A140" s="34"/>
      <c r="B140" s="34"/>
      <c r="C140" s="34"/>
      <c r="D140" s="34"/>
      <c r="E140" s="34"/>
      <c r="F140" s="34"/>
      <c r="G140" s="34"/>
      <c r="H140" s="34"/>
      <c r="I140" s="34"/>
      <c r="J140" s="34"/>
      <c r="K140" s="34"/>
      <c r="L140" s="34"/>
      <c r="M140" s="35"/>
      <c r="N140" s="34"/>
      <c r="O140" s="34"/>
      <c r="P140" s="34"/>
    </row>
    <row r="141" spans="1:16" ht="30" customHeight="1">
      <c r="A141" s="34"/>
      <c r="B141" s="34"/>
      <c r="C141" s="34"/>
      <c r="D141" s="34"/>
      <c r="E141" s="34"/>
      <c r="F141" s="34"/>
      <c r="G141" s="34"/>
      <c r="H141" s="34"/>
      <c r="I141" s="34"/>
      <c r="J141" s="34"/>
      <c r="K141" s="34"/>
      <c r="L141" s="34"/>
      <c r="M141" s="35"/>
      <c r="N141" s="34"/>
      <c r="O141" s="34"/>
      <c r="P141" s="34"/>
    </row>
    <row r="142" spans="1:16" ht="30" customHeight="1">
      <c r="A142" s="34"/>
      <c r="B142" s="34"/>
      <c r="C142" s="34"/>
      <c r="D142" s="34"/>
      <c r="E142" s="34"/>
      <c r="F142" s="34"/>
      <c r="G142" s="34"/>
      <c r="H142" s="34"/>
      <c r="I142" s="34"/>
      <c r="J142" s="34"/>
      <c r="K142" s="34"/>
      <c r="L142" s="34"/>
      <c r="M142" s="35"/>
      <c r="N142" s="34"/>
      <c r="O142" s="34"/>
      <c r="P142" s="34"/>
    </row>
    <row r="143" spans="1:16" ht="30" customHeight="1">
      <c r="A143" s="34"/>
      <c r="B143" s="34"/>
      <c r="C143" s="34"/>
      <c r="D143" s="34"/>
      <c r="E143" s="34"/>
      <c r="F143" s="34"/>
      <c r="G143" s="34"/>
      <c r="H143" s="34"/>
      <c r="I143" s="34"/>
      <c r="J143" s="34"/>
      <c r="K143" s="34"/>
      <c r="L143" s="34"/>
      <c r="M143" s="35"/>
      <c r="N143" s="34"/>
      <c r="O143" s="34"/>
      <c r="P143" s="34"/>
    </row>
    <row r="144" spans="1:16" ht="30" customHeight="1">
      <c r="A144" s="34"/>
      <c r="B144" s="34"/>
      <c r="C144" s="34"/>
      <c r="D144" s="34"/>
      <c r="E144" s="34"/>
      <c r="F144" s="34"/>
      <c r="G144" s="34"/>
      <c r="H144" s="34"/>
      <c r="I144" s="34"/>
      <c r="J144" s="34"/>
      <c r="K144" s="34"/>
      <c r="L144" s="34"/>
      <c r="M144" s="35"/>
      <c r="N144" s="34"/>
      <c r="O144" s="34"/>
      <c r="P144" s="34"/>
    </row>
    <row r="145" spans="1:16" ht="30" customHeight="1">
      <c r="A145" s="34"/>
      <c r="B145" s="34"/>
      <c r="C145" s="34"/>
      <c r="D145" s="34"/>
      <c r="E145" s="34"/>
      <c r="F145" s="34"/>
      <c r="G145" s="34"/>
      <c r="H145" s="34"/>
      <c r="I145" s="34"/>
      <c r="J145" s="34"/>
      <c r="K145" s="34"/>
      <c r="L145" s="34"/>
      <c r="M145" s="35"/>
      <c r="N145" s="34"/>
      <c r="O145" s="34"/>
      <c r="P145" s="34"/>
    </row>
    <row r="146" spans="1:16" ht="30" customHeight="1">
      <c r="A146" s="34"/>
      <c r="B146" s="34"/>
      <c r="C146" s="34"/>
      <c r="D146" s="34"/>
      <c r="E146" s="34"/>
      <c r="F146" s="34"/>
      <c r="G146" s="34"/>
      <c r="H146" s="34"/>
      <c r="I146" s="34"/>
      <c r="J146" s="34"/>
      <c r="K146" s="34"/>
      <c r="L146" s="34"/>
      <c r="M146" s="35"/>
      <c r="N146" s="34"/>
      <c r="O146" s="34"/>
      <c r="P146" s="34"/>
    </row>
    <row r="147" spans="1:16" ht="30" customHeight="1">
      <c r="A147" s="34"/>
      <c r="B147" s="34"/>
      <c r="C147" s="34"/>
      <c r="D147" s="34"/>
      <c r="E147" s="34"/>
      <c r="F147" s="34"/>
      <c r="G147" s="34"/>
      <c r="H147" s="34"/>
      <c r="I147" s="34"/>
      <c r="J147" s="34"/>
      <c r="K147" s="34"/>
      <c r="L147" s="34"/>
      <c r="M147" s="35"/>
      <c r="N147" s="34"/>
      <c r="O147" s="34"/>
      <c r="P147" s="34"/>
    </row>
    <row r="148" spans="1:16" ht="30" customHeight="1">
      <c r="A148" s="34"/>
      <c r="B148" s="34"/>
      <c r="C148" s="34"/>
      <c r="D148" s="34"/>
      <c r="E148" s="34"/>
      <c r="F148" s="34"/>
      <c r="G148" s="34"/>
      <c r="H148" s="34"/>
      <c r="I148" s="34"/>
      <c r="J148" s="34"/>
      <c r="K148" s="34"/>
      <c r="L148" s="34"/>
      <c r="M148" s="35"/>
      <c r="N148" s="34"/>
      <c r="O148" s="34"/>
      <c r="P148" s="34"/>
    </row>
    <row r="149" spans="1:16" ht="30" customHeight="1">
      <c r="A149" s="34"/>
      <c r="B149" s="34"/>
      <c r="C149" s="34"/>
      <c r="D149" s="34"/>
      <c r="E149" s="34"/>
      <c r="F149" s="34"/>
      <c r="G149" s="34"/>
      <c r="H149" s="34"/>
      <c r="I149" s="34"/>
      <c r="J149" s="34"/>
      <c r="K149" s="34"/>
      <c r="L149" s="34"/>
      <c r="M149" s="35"/>
      <c r="N149" s="34"/>
      <c r="O149" s="34"/>
      <c r="P149" s="34"/>
    </row>
    <row r="150" spans="1:16" ht="30" customHeight="1">
      <c r="A150" s="34"/>
      <c r="B150" s="34"/>
      <c r="C150" s="34"/>
      <c r="D150" s="34"/>
      <c r="E150" s="34"/>
      <c r="F150" s="34"/>
      <c r="G150" s="34"/>
      <c r="H150" s="34"/>
      <c r="I150" s="34"/>
      <c r="J150" s="34"/>
      <c r="K150" s="34"/>
      <c r="L150" s="34"/>
      <c r="M150" s="35"/>
      <c r="N150" s="34"/>
      <c r="O150" s="34"/>
      <c r="P150" s="34"/>
    </row>
    <row r="151" spans="1:16" ht="30" customHeight="1">
      <c r="A151" s="34"/>
      <c r="B151" s="34"/>
      <c r="C151" s="34"/>
      <c r="D151" s="34"/>
      <c r="E151" s="34"/>
      <c r="F151" s="34"/>
      <c r="G151" s="34"/>
      <c r="H151" s="34"/>
      <c r="I151" s="34"/>
      <c r="J151" s="34"/>
      <c r="K151" s="34"/>
      <c r="L151" s="34"/>
      <c r="M151" s="35"/>
      <c r="N151" s="34"/>
      <c r="O151" s="34"/>
      <c r="P151" s="34"/>
    </row>
    <row r="152" spans="1:16" ht="30" customHeight="1">
      <c r="A152" s="34"/>
      <c r="B152" s="34"/>
      <c r="C152" s="34"/>
      <c r="D152" s="34"/>
      <c r="E152" s="34"/>
      <c r="F152" s="34"/>
      <c r="G152" s="34"/>
      <c r="H152" s="34"/>
      <c r="I152" s="34"/>
      <c r="J152" s="34"/>
      <c r="K152" s="34"/>
      <c r="L152" s="34"/>
      <c r="M152" s="35"/>
      <c r="N152" s="34"/>
      <c r="O152" s="34"/>
      <c r="P152" s="34"/>
    </row>
    <row r="153" spans="1:16" ht="30" customHeight="1">
      <c r="A153" s="34"/>
      <c r="B153" s="34"/>
      <c r="C153" s="34"/>
      <c r="D153" s="34"/>
      <c r="E153" s="34"/>
      <c r="F153" s="34"/>
      <c r="G153" s="34"/>
      <c r="H153" s="34"/>
      <c r="I153" s="34"/>
      <c r="J153" s="34"/>
      <c r="K153" s="34"/>
      <c r="L153" s="34"/>
      <c r="M153" s="35"/>
      <c r="N153" s="34"/>
      <c r="O153" s="34"/>
      <c r="P153" s="34"/>
    </row>
    <row r="154" spans="1:16" ht="30" customHeight="1">
      <c r="A154" s="34"/>
      <c r="B154" s="34"/>
      <c r="C154" s="34"/>
      <c r="D154" s="34"/>
      <c r="E154" s="34"/>
      <c r="F154" s="34"/>
      <c r="G154" s="34"/>
      <c r="H154" s="34"/>
      <c r="I154" s="34"/>
      <c r="J154" s="34"/>
      <c r="K154" s="34"/>
      <c r="L154" s="34"/>
      <c r="M154" s="35"/>
      <c r="N154" s="34"/>
      <c r="O154" s="34"/>
      <c r="P154" s="34"/>
    </row>
    <row r="155" spans="1:16" ht="30" customHeight="1">
      <c r="A155" s="34"/>
      <c r="B155" s="34"/>
      <c r="C155" s="34"/>
      <c r="D155" s="34"/>
      <c r="E155" s="34"/>
      <c r="F155" s="34"/>
      <c r="G155" s="34"/>
      <c r="H155" s="34"/>
      <c r="I155" s="34"/>
      <c r="J155" s="34"/>
      <c r="K155" s="34"/>
      <c r="L155" s="34"/>
      <c r="M155" s="35"/>
      <c r="N155" s="34"/>
      <c r="O155" s="34"/>
      <c r="P155" s="34"/>
    </row>
    <row r="156" spans="1:16" ht="30" customHeight="1">
      <c r="A156" s="34"/>
      <c r="B156" s="34"/>
      <c r="C156" s="34"/>
      <c r="D156" s="34"/>
      <c r="E156" s="34"/>
      <c r="F156" s="34"/>
      <c r="G156" s="34"/>
      <c r="H156" s="34"/>
      <c r="I156" s="34"/>
      <c r="J156" s="34"/>
      <c r="K156" s="34"/>
      <c r="L156" s="34"/>
      <c r="M156" s="35"/>
      <c r="N156" s="34"/>
      <c r="O156" s="34"/>
      <c r="P156" s="34"/>
    </row>
    <row r="157" spans="1:16" ht="30" customHeight="1">
      <c r="A157" s="34"/>
      <c r="B157" s="34"/>
      <c r="C157" s="34"/>
      <c r="D157" s="34"/>
      <c r="E157" s="34"/>
      <c r="F157" s="34"/>
      <c r="G157" s="34"/>
      <c r="H157" s="34"/>
      <c r="I157" s="34"/>
      <c r="J157" s="34"/>
      <c r="K157" s="34"/>
      <c r="L157" s="34"/>
      <c r="M157" s="35"/>
      <c r="N157" s="34"/>
      <c r="O157" s="34"/>
      <c r="P157" s="34"/>
    </row>
    <row r="158" spans="1:16" ht="30" customHeight="1">
      <c r="A158" s="34"/>
      <c r="B158" s="34"/>
      <c r="C158" s="34"/>
      <c r="D158" s="34"/>
      <c r="E158" s="34"/>
      <c r="F158" s="34"/>
      <c r="G158" s="34"/>
      <c r="H158" s="34"/>
      <c r="I158" s="34"/>
      <c r="J158" s="34"/>
      <c r="K158" s="34"/>
      <c r="L158" s="34"/>
      <c r="M158" s="35"/>
      <c r="N158" s="34"/>
      <c r="O158" s="34"/>
      <c r="P158" s="34"/>
    </row>
    <row r="159" spans="1:16" ht="30" customHeight="1">
      <c r="A159" s="34"/>
      <c r="B159" s="34"/>
      <c r="C159" s="34"/>
      <c r="D159" s="34"/>
      <c r="E159" s="34"/>
      <c r="F159" s="34"/>
      <c r="G159" s="34"/>
      <c r="H159" s="34"/>
      <c r="I159" s="34"/>
      <c r="J159" s="34"/>
      <c r="K159" s="34"/>
      <c r="L159" s="34"/>
      <c r="M159" s="35"/>
      <c r="N159" s="34"/>
      <c r="O159" s="34"/>
      <c r="P159" s="34"/>
    </row>
    <row r="160" spans="1:16" ht="30" customHeight="1">
      <c r="A160" s="34"/>
      <c r="B160" s="34"/>
      <c r="C160" s="34"/>
      <c r="D160" s="34"/>
      <c r="E160" s="34"/>
      <c r="F160" s="34"/>
      <c r="G160" s="34"/>
      <c r="H160" s="34"/>
      <c r="I160" s="34"/>
      <c r="J160" s="34"/>
      <c r="K160" s="34"/>
      <c r="L160" s="34"/>
      <c r="M160" s="35"/>
      <c r="N160" s="34"/>
      <c r="O160" s="34"/>
      <c r="P160" s="34"/>
    </row>
    <row r="161" spans="1:16" ht="30" customHeight="1">
      <c r="A161" s="34"/>
      <c r="B161" s="34"/>
      <c r="C161" s="34"/>
      <c r="D161" s="34"/>
      <c r="E161" s="34"/>
      <c r="F161" s="34"/>
      <c r="G161" s="34"/>
      <c r="H161" s="34"/>
      <c r="I161" s="34"/>
      <c r="J161" s="34"/>
      <c r="K161" s="34"/>
      <c r="L161" s="34"/>
      <c r="M161" s="35"/>
      <c r="N161" s="34"/>
      <c r="O161" s="34"/>
      <c r="P161" s="34"/>
    </row>
    <row r="162" spans="1:16" ht="30" customHeight="1">
      <c r="A162" s="34"/>
      <c r="B162" s="34"/>
      <c r="C162" s="34"/>
      <c r="D162" s="34"/>
      <c r="E162" s="34"/>
      <c r="F162" s="34"/>
      <c r="G162" s="34"/>
      <c r="H162" s="34"/>
      <c r="I162" s="34"/>
      <c r="J162" s="34"/>
      <c r="K162" s="34"/>
      <c r="L162" s="34"/>
      <c r="M162" s="35"/>
      <c r="N162" s="34"/>
      <c r="O162" s="34"/>
      <c r="P162" s="34"/>
    </row>
    <row r="163" spans="1:16" ht="30" customHeight="1">
      <c r="A163" s="34"/>
      <c r="B163" s="34"/>
      <c r="C163" s="34"/>
      <c r="D163" s="34"/>
      <c r="E163" s="34"/>
      <c r="F163" s="34"/>
      <c r="G163" s="34"/>
      <c r="H163" s="34"/>
      <c r="I163" s="34"/>
      <c r="J163" s="34"/>
      <c r="K163" s="34"/>
      <c r="L163" s="34"/>
      <c r="M163" s="35"/>
      <c r="N163" s="34"/>
      <c r="O163" s="34"/>
      <c r="P163" s="34"/>
    </row>
    <row r="164" spans="1:16" ht="30" customHeight="1">
      <c r="A164" s="34"/>
      <c r="B164" s="34"/>
      <c r="C164" s="34"/>
      <c r="D164" s="34"/>
      <c r="E164" s="34"/>
      <c r="F164" s="34"/>
      <c r="G164" s="34"/>
      <c r="H164" s="34"/>
      <c r="I164" s="34"/>
      <c r="J164" s="34"/>
      <c r="K164" s="34"/>
      <c r="L164" s="34"/>
      <c r="M164" s="35"/>
      <c r="N164" s="34"/>
      <c r="O164" s="34"/>
      <c r="P164" s="34"/>
    </row>
    <row r="165" spans="1:16" ht="30" customHeight="1">
      <c r="A165" s="34"/>
      <c r="B165" s="34"/>
      <c r="C165" s="34"/>
      <c r="D165" s="34"/>
      <c r="E165" s="34"/>
      <c r="F165" s="34"/>
      <c r="G165" s="34"/>
      <c r="H165" s="34"/>
      <c r="I165" s="34"/>
      <c r="J165" s="34"/>
      <c r="K165" s="34"/>
      <c r="L165" s="34"/>
      <c r="M165" s="35"/>
      <c r="N165" s="34"/>
      <c r="O165" s="34"/>
      <c r="P165" s="34"/>
    </row>
    <row r="166" spans="1:16" ht="30" customHeight="1">
      <c r="A166" s="34"/>
      <c r="B166" s="34"/>
      <c r="C166" s="34"/>
      <c r="D166" s="34"/>
      <c r="E166" s="34"/>
      <c r="F166" s="34"/>
      <c r="G166" s="34"/>
      <c r="H166" s="34"/>
      <c r="I166" s="34"/>
      <c r="J166" s="34"/>
      <c r="K166" s="34"/>
      <c r="L166" s="34"/>
      <c r="M166" s="35"/>
      <c r="N166" s="34"/>
      <c r="O166" s="34"/>
      <c r="P166" s="34"/>
    </row>
    <row r="167" spans="1:16" ht="30" customHeight="1">
      <c r="A167" s="34"/>
      <c r="B167" s="34"/>
      <c r="C167" s="34"/>
      <c r="D167" s="34"/>
      <c r="E167" s="34"/>
      <c r="F167" s="34"/>
      <c r="G167" s="34"/>
      <c r="H167" s="34"/>
      <c r="I167" s="34"/>
      <c r="J167" s="34"/>
      <c r="K167" s="34"/>
      <c r="L167" s="34"/>
      <c r="M167" s="35"/>
      <c r="N167" s="34"/>
      <c r="O167" s="34"/>
      <c r="P167" s="34"/>
    </row>
    <row r="168" spans="1:16" ht="30" customHeight="1">
      <c r="A168" s="34"/>
      <c r="B168" s="34"/>
      <c r="C168" s="34"/>
      <c r="D168" s="34"/>
      <c r="E168" s="34"/>
      <c r="F168" s="34"/>
      <c r="G168" s="34"/>
      <c r="H168" s="34"/>
      <c r="I168" s="34"/>
      <c r="J168" s="34"/>
      <c r="K168" s="34"/>
      <c r="L168" s="34"/>
      <c r="M168" s="35"/>
      <c r="N168" s="34"/>
      <c r="O168" s="34"/>
      <c r="P168" s="34"/>
    </row>
    <row r="169" spans="1:16" ht="30" customHeight="1">
      <c r="A169" s="34"/>
      <c r="B169" s="34"/>
      <c r="C169" s="34"/>
      <c r="D169" s="34"/>
      <c r="E169" s="34"/>
      <c r="F169" s="34"/>
      <c r="G169" s="34"/>
      <c r="H169" s="34"/>
      <c r="I169" s="34"/>
      <c r="J169" s="34"/>
      <c r="K169" s="34"/>
      <c r="L169" s="34"/>
      <c r="M169" s="35"/>
      <c r="N169" s="34"/>
      <c r="O169" s="34"/>
      <c r="P169" s="34"/>
    </row>
    <row r="170" spans="1:16" ht="30" customHeight="1">
      <c r="A170" s="34"/>
      <c r="B170" s="34"/>
      <c r="C170" s="34"/>
      <c r="D170" s="34"/>
      <c r="E170" s="34"/>
      <c r="F170" s="34"/>
      <c r="G170" s="34"/>
      <c r="H170" s="34"/>
      <c r="I170" s="34"/>
      <c r="J170" s="34"/>
      <c r="K170" s="34"/>
      <c r="L170" s="34"/>
      <c r="M170" s="35"/>
      <c r="N170" s="34"/>
      <c r="O170" s="34"/>
      <c r="P170" s="34"/>
    </row>
    <row r="171" spans="1:16" ht="30" customHeight="1">
      <c r="A171" s="34"/>
      <c r="B171" s="34"/>
      <c r="C171" s="34"/>
      <c r="D171" s="34"/>
      <c r="E171" s="34"/>
      <c r="F171" s="34"/>
      <c r="G171" s="34"/>
      <c r="H171" s="34"/>
      <c r="I171" s="34"/>
      <c r="J171" s="34"/>
      <c r="K171" s="34"/>
      <c r="L171" s="34"/>
      <c r="M171" s="35"/>
      <c r="N171" s="34"/>
      <c r="O171" s="34"/>
      <c r="P171" s="34"/>
    </row>
    <row r="172" spans="1:16" ht="30" customHeight="1">
      <c r="A172" s="34"/>
      <c r="B172" s="34"/>
      <c r="C172" s="34"/>
      <c r="D172" s="34"/>
      <c r="E172" s="34"/>
      <c r="F172" s="34"/>
      <c r="G172" s="34"/>
      <c r="H172" s="34"/>
      <c r="I172" s="34"/>
      <c r="J172" s="34"/>
      <c r="K172" s="34"/>
      <c r="L172" s="34"/>
      <c r="M172" s="35"/>
      <c r="N172" s="34"/>
      <c r="O172" s="34"/>
      <c r="P172" s="34"/>
    </row>
    <row r="173" spans="1:16" ht="30" customHeight="1">
      <c r="A173" s="34"/>
      <c r="B173" s="34"/>
      <c r="C173" s="34"/>
      <c r="D173" s="34"/>
      <c r="E173" s="34"/>
      <c r="F173" s="34"/>
      <c r="G173" s="34"/>
      <c r="H173" s="34"/>
      <c r="I173" s="34"/>
      <c r="J173" s="34"/>
      <c r="K173" s="34"/>
      <c r="L173" s="34"/>
      <c r="M173" s="35"/>
      <c r="N173" s="34"/>
      <c r="O173" s="34"/>
      <c r="P173" s="34"/>
    </row>
    <row r="174" spans="1:16" ht="30" customHeight="1">
      <c r="A174" s="34"/>
      <c r="B174" s="34"/>
      <c r="C174" s="34"/>
      <c r="D174" s="34"/>
      <c r="E174" s="34"/>
      <c r="F174" s="34"/>
      <c r="G174" s="34"/>
      <c r="H174" s="34"/>
      <c r="I174" s="34"/>
      <c r="J174" s="34"/>
      <c r="K174" s="34"/>
      <c r="L174" s="34"/>
      <c r="M174" s="35"/>
      <c r="N174" s="34"/>
      <c r="O174" s="34"/>
      <c r="P174" s="34"/>
    </row>
    <row r="175" spans="1:16" ht="30" customHeight="1">
      <c r="A175" s="34"/>
      <c r="B175" s="34"/>
      <c r="C175" s="34"/>
      <c r="D175" s="34"/>
      <c r="E175" s="34"/>
      <c r="F175" s="34"/>
      <c r="G175" s="34"/>
      <c r="H175" s="34"/>
      <c r="I175" s="34"/>
      <c r="J175" s="34"/>
      <c r="K175" s="34"/>
      <c r="L175" s="34"/>
      <c r="M175" s="35"/>
      <c r="N175" s="34"/>
      <c r="O175" s="34"/>
      <c r="P175" s="34"/>
    </row>
    <row r="176" spans="1:16" ht="30" customHeight="1">
      <c r="A176" s="34"/>
      <c r="B176" s="34"/>
      <c r="C176" s="34"/>
      <c r="D176" s="34"/>
      <c r="E176" s="34"/>
      <c r="F176" s="34"/>
      <c r="G176" s="34"/>
      <c r="H176" s="34"/>
      <c r="I176" s="34"/>
      <c r="J176" s="34"/>
      <c r="K176" s="34"/>
      <c r="L176" s="34"/>
      <c r="M176" s="35"/>
      <c r="N176" s="34"/>
      <c r="O176" s="34"/>
      <c r="P176" s="34"/>
    </row>
    <row r="177" spans="1:16" ht="30" customHeight="1">
      <c r="A177" s="34"/>
      <c r="B177" s="34"/>
      <c r="C177" s="34"/>
      <c r="D177" s="34"/>
      <c r="E177" s="34"/>
      <c r="F177" s="34"/>
      <c r="G177" s="34"/>
      <c r="H177" s="34"/>
      <c r="I177" s="34"/>
      <c r="J177" s="34"/>
      <c r="K177" s="34"/>
      <c r="L177" s="34"/>
      <c r="M177" s="35"/>
      <c r="N177" s="34"/>
      <c r="O177" s="34"/>
      <c r="P177" s="34"/>
    </row>
    <row r="178" spans="1:16" ht="30" customHeight="1">
      <c r="A178" s="34"/>
      <c r="B178" s="34"/>
      <c r="C178" s="34"/>
      <c r="D178" s="34"/>
      <c r="E178" s="34"/>
      <c r="F178" s="34"/>
      <c r="G178" s="34"/>
      <c r="H178" s="34"/>
      <c r="I178" s="34"/>
      <c r="J178" s="34"/>
      <c r="K178" s="34"/>
      <c r="L178" s="34"/>
      <c r="M178" s="35"/>
      <c r="N178" s="34"/>
      <c r="O178" s="34"/>
      <c r="P178" s="34"/>
    </row>
    <row r="179" spans="1:16" ht="30" customHeight="1">
      <c r="A179" s="34"/>
      <c r="B179" s="34"/>
      <c r="C179" s="34"/>
      <c r="D179" s="34"/>
      <c r="E179" s="34"/>
      <c r="F179" s="34"/>
      <c r="G179" s="34"/>
      <c r="H179" s="34"/>
      <c r="I179" s="34"/>
      <c r="J179" s="34"/>
      <c r="K179" s="34"/>
      <c r="L179" s="34"/>
      <c r="M179" s="35"/>
      <c r="N179" s="34"/>
      <c r="O179" s="34"/>
      <c r="P179" s="34"/>
    </row>
    <row r="180" spans="1:16" ht="30" customHeight="1">
      <c r="A180" s="34"/>
      <c r="B180" s="34"/>
      <c r="C180" s="34"/>
      <c r="D180" s="34"/>
      <c r="E180" s="34"/>
      <c r="F180" s="34"/>
      <c r="G180" s="34"/>
      <c r="H180" s="34"/>
      <c r="I180" s="34"/>
      <c r="J180" s="34"/>
      <c r="K180" s="34"/>
      <c r="L180" s="34"/>
      <c r="M180" s="35"/>
      <c r="N180" s="34"/>
      <c r="O180" s="34"/>
      <c r="P180" s="34"/>
    </row>
    <row r="181" spans="1:16" ht="30" customHeight="1">
      <c r="A181" s="34"/>
      <c r="B181" s="34"/>
      <c r="C181" s="34"/>
      <c r="D181" s="34"/>
      <c r="E181" s="34"/>
      <c r="F181" s="34"/>
      <c r="G181" s="34"/>
      <c r="H181" s="34"/>
      <c r="I181" s="34"/>
      <c r="J181" s="34"/>
      <c r="K181" s="34"/>
      <c r="L181" s="34"/>
      <c r="M181" s="35"/>
      <c r="N181" s="34"/>
      <c r="O181" s="34"/>
      <c r="P181" s="34"/>
    </row>
    <row r="182" spans="1:16" ht="30" customHeight="1">
      <c r="A182" s="34"/>
      <c r="B182" s="34"/>
      <c r="C182" s="34"/>
      <c r="D182" s="34"/>
      <c r="E182" s="34"/>
      <c r="F182" s="34"/>
      <c r="G182" s="34"/>
      <c r="H182" s="34"/>
      <c r="I182" s="34"/>
      <c r="J182" s="34"/>
      <c r="K182" s="34"/>
      <c r="L182" s="34"/>
      <c r="M182" s="35"/>
      <c r="N182" s="34"/>
      <c r="O182" s="34"/>
      <c r="P182" s="34"/>
    </row>
    <row r="183" spans="1:16" ht="30" customHeight="1">
      <c r="A183" s="34"/>
      <c r="B183" s="34"/>
      <c r="C183" s="34"/>
      <c r="D183" s="34"/>
      <c r="E183" s="34"/>
      <c r="F183" s="34"/>
      <c r="G183" s="34"/>
      <c r="H183" s="34"/>
      <c r="I183" s="34"/>
      <c r="J183" s="34"/>
      <c r="K183" s="34"/>
      <c r="L183" s="34"/>
      <c r="M183" s="35"/>
      <c r="N183" s="34"/>
      <c r="O183" s="34"/>
      <c r="P183" s="34"/>
    </row>
    <row r="184" spans="1:16" ht="30" customHeight="1">
      <c r="A184" s="34"/>
      <c r="B184" s="34"/>
      <c r="C184" s="34"/>
      <c r="D184" s="34"/>
      <c r="E184" s="34"/>
      <c r="F184" s="34"/>
      <c r="G184" s="34"/>
      <c r="H184" s="34"/>
      <c r="I184" s="34"/>
      <c r="J184" s="34"/>
      <c r="K184" s="34"/>
      <c r="L184" s="34"/>
      <c r="M184" s="35"/>
      <c r="N184" s="34"/>
      <c r="O184" s="34"/>
      <c r="P184" s="34"/>
    </row>
    <row r="185" spans="1:16" ht="30" customHeight="1">
      <c r="A185" s="34"/>
      <c r="B185" s="34"/>
      <c r="C185" s="34"/>
      <c r="D185" s="34"/>
      <c r="E185" s="34"/>
      <c r="F185" s="34"/>
      <c r="G185" s="34"/>
      <c r="H185" s="34"/>
      <c r="I185" s="34"/>
      <c r="J185" s="34"/>
      <c r="K185" s="34"/>
      <c r="L185" s="34"/>
      <c r="M185" s="35"/>
      <c r="N185" s="34"/>
      <c r="O185" s="34"/>
      <c r="P185" s="34"/>
    </row>
    <row r="186" spans="1:16" ht="30" customHeight="1">
      <c r="A186" s="34"/>
      <c r="B186" s="34"/>
      <c r="C186" s="34"/>
      <c r="D186" s="34"/>
      <c r="E186" s="34"/>
      <c r="F186" s="34"/>
      <c r="G186" s="34"/>
      <c r="H186" s="34"/>
      <c r="I186" s="34"/>
      <c r="J186" s="34"/>
      <c r="K186" s="34"/>
      <c r="L186" s="34"/>
      <c r="M186" s="35"/>
      <c r="N186" s="34"/>
      <c r="O186" s="34"/>
      <c r="P186" s="34"/>
    </row>
    <row r="187" spans="1:16" ht="30" customHeight="1">
      <c r="A187" s="34"/>
      <c r="B187" s="34"/>
      <c r="C187" s="34"/>
      <c r="D187" s="34"/>
      <c r="E187" s="34"/>
      <c r="F187" s="34"/>
      <c r="G187" s="34"/>
      <c r="H187" s="34"/>
      <c r="I187" s="34"/>
      <c r="J187" s="34"/>
      <c r="K187" s="34"/>
      <c r="L187" s="34"/>
      <c r="M187" s="35"/>
      <c r="N187" s="34"/>
      <c r="O187" s="34"/>
      <c r="P187" s="34"/>
    </row>
    <row r="188" spans="1:16" ht="30" customHeight="1">
      <c r="A188" s="34"/>
      <c r="B188" s="34"/>
      <c r="C188" s="34"/>
      <c r="D188" s="34"/>
      <c r="E188" s="34"/>
      <c r="F188" s="34"/>
      <c r="G188" s="34"/>
      <c r="H188" s="34"/>
      <c r="I188" s="34"/>
      <c r="J188" s="34"/>
      <c r="K188" s="34"/>
      <c r="L188" s="34"/>
      <c r="M188" s="35"/>
      <c r="N188" s="34"/>
      <c r="O188" s="34"/>
      <c r="P188" s="34"/>
    </row>
    <row r="189" spans="1:16" ht="30" customHeight="1">
      <c r="A189" s="34"/>
      <c r="B189" s="34"/>
      <c r="C189" s="34"/>
      <c r="D189" s="34"/>
      <c r="E189" s="34"/>
      <c r="F189" s="34"/>
      <c r="G189" s="34"/>
      <c r="H189" s="34"/>
      <c r="I189" s="34"/>
      <c r="J189" s="34"/>
      <c r="K189" s="34"/>
      <c r="L189" s="34"/>
      <c r="M189" s="35"/>
      <c r="N189" s="34"/>
      <c r="O189" s="34"/>
      <c r="P189" s="34"/>
    </row>
    <row r="190" spans="1:16" ht="30" customHeight="1">
      <c r="A190" s="34"/>
      <c r="B190" s="34"/>
      <c r="C190" s="34"/>
      <c r="D190" s="34"/>
      <c r="E190" s="34"/>
      <c r="F190" s="34"/>
      <c r="G190" s="34"/>
      <c r="H190" s="34"/>
      <c r="I190" s="34"/>
      <c r="J190" s="34"/>
      <c r="K190" s="34"/>
      <c r="L190" s="34"/>
      <c r="M190" s="35"/>
      <c r="N190" s="34"/>
      <c r="O190" s="34"/>
      <c r="P190" s="34"/>
    </row>
    <row r="191" spans="1:16" ht="30" customHeight="1">
      <c r="A191" s="34"/>
      <c r="B191" s="34"/>
      <c r="C191" s="34"/>
      <c r="D191" s="34"/>
      <c r="E191" s="34"/>
      <c r="F191" s="34"/>
      <c r="G191" s="34"/>
      <c r="H191" s="34"/>
      <c r="I191" s="34"/>
      <c r="J191" s="34"/>
      <c r="K191" s="34"/>
      <c r="L191" s="34"/>
      <c r="M191" s="35"/>
      <c r="N191" s="34"/>
      <c r="O191" s="34"/>
      <c r="P191" s="34"/>
    </row>
    <row r="192" spans="1:16" ht="30" customHeight="1">
      <c r="A192" s="34"/>
      <c r="B192" s="34"/>
      <c r="C192" s="34"/>
      <c r="D192" s="34"/>
      <c r="E192" s="34"/>
      <c r="F192" s="34"/>
      <c r="G192" s="34"/>
      <c r="H192" s="34"/>
      <c r="I192" s="34"/>
      <c r="J192" s="34"/>
      <c r="K192" s="34"/>
      <c r="L192" s="34"/>
      <c r="M192" s="35"/>
      <c r="N192" s="34"/>
      <c r="O192" s="34"/>
      <c r="P192" s="34"/>
    </row>
    <row r="193" spans="1:16" ht="30" customHeight="1">
      <c r="A193" s="34"/>
      <c r="B193" s="34"/>
      <c r="C193" s="34"/>
      <c r="D193" s="34"/>
      <c r="E193" s="34"/>
      <c r="F193" s="34"/>
      <c r="G193" s="34"/>
      <c r="H193" s="34"/>
      <c r="I193" s="34"/>
      <c r="J193" s="34"/>
      <c r="K193" s="34"/>
      <c r="L193" s="34"/>
      <c r="M193" s="35"/>
      <c r="N193" s="34"/>
      <c r="O193" s="34"/>
      <c r="P193" s="34"/>
    </row>
    <row r="194" spans="1:16" ht="30" customHeight="1">
      <c r="A194" s="34"/>
      <c r="B194" s="34"/>
      <c r="C194" s="34"/>
      <c r="D194" s="34"/>
      <c r="E194" s="34"/>
      <c r="F194" s="34"/>
      <c r="G194" s="34"/>
      <c r="H194" s="34"/>
      <c r="I194" s="34"/>
      <c r="J194" s="34"/>
      <c r="K194" s="34"/>
      <c r="L194" s="34"/>
      <c r="M194" s="35"/>
      <c r="N194" s="34"/>
      <c r="O194" s="34"/>
      <c r="P194" s="34"/>
    </row>
    <row r="195" spans="1:16" ht="30" customHeight="1">
      <c r="A195" s="34"/>
      <c r="B195" s="34"/>
      <c r="C195" s="34"/>
      <c r="D195" s="34"/>
      <c r="E195" s="34"/>
      <c r="F195" s="34"/>
      <c r="G195" s="34"/>
      <c r="H195" s="34"/>
      <c r="I195" s="34"/>
      <c r="J195" s="34"/>
      <c r="K195" s="34"/>
      <c r="L195" s="34"/>
      <c r="M195" s="35"/>
      <c r="N195" s="34"/>
      <c r="O195" s="34"/>
      <c r="P195" s="34"/>
    </row>
    <row r="196" spans="1:16" ht="30" customHeight="1">
      <c r="A196" s="34"/>
      <c r="B196" s="34"/>
      <c r="C196" s="34"/>
      <c r="D196" s="34"/>
      <c r="E196" s="34"/>
      <c r="F196" s="34"/>
      <c r="G196" s="34"/>
      <c r="H196" s="34"/>
      <c r="I196" s="34"/>
      <c r="J196" s="34"/>
      <c r="K196" s="34"/>
      <c r="L196" s="34"/>
      <c r="M196" s="35"/>
      <c r="N196" s="34"/>
      <c r="O196" s="34"/>
      <c r="P196" s="34"/>
    </row>
    <row r="197" spans="1:16" ht="30" customHeight="1">
      <c r="A197" s="34"/>
      <c r="B197" s="34"/>
      <c r="C197" s="34"/>
      <c r="D197" s="34"/>
      <c r="E197" s="34"/>
      <c r="F197" s="34"/>
      <c r="G197" s="34"/>
      <c r="H197" s="34"/>
      <c r="I197" s="34"/>
      <c r="J197" s="34"/>
      <c r="K197" s="34"/>
      <c r="L197" s="34"/>
      <c r="M197" s="35"/>
      <c r="N197" s="34"/>
      <c r="O197" s="34"/>
      <c r="P197" s="34"/>
    </row>
    <row r="198" spans="1:16" ht="30" customHeight="1">
      <c r="A198" s="34"/>
      <c r="B198" s="34"/>
      <c r="C198" s="34"/>
      <c r="D198" s="34"/>
      <c r="E198" s="34"/>
      <c r="F198" s="34"/>
      <c r="G198" s="34"/>
      <c r="H198" s="34"/>
      <c r="I198" s="34"/>
      <c r="J198" s="34"/>
      <c r="K198" s="34"/>
      <c r="L198" s="34"/>
      <c r="M198" s="35"/>
      <c r="N198" s="34"/>
      <c r="O198" s="34"/>
      <c r="P198" s="34"/>
    </row>
    <row r="199" spans="1:16" ht="30" customHeight="1">
      <c r="A199" s="34"/>
      <c r="B199" s="34"/>
      <c r="C199" s="34"/>
      <c r="D199" s="34"/>
      <c r="E199" s="34"/>
      <c r="F199" s="34"/>
      <c r="G199" s="34"/>
      <c r="H199" s="34"/>
      <c r="I199" s="34"/>
      <c r="J199" s="34"/>
      <c r="K199" s="34"/>
      <c r="L199" s="34"/>
      <c r="M199" s="35"/>
      <c r="N199" s="34"/>
      <c r="O199" s="34"/>
      <c r="P199" s="34"/>
    </row>
    <row r="200" spans="1:16" ht="30" customHeight="1">
      <c r="A200" s="34"/>
      <c r="B200" s="34"/>
      <c r="C200" s="34"/>
      <c r="D200" s="34"/>
      <c r="E200" s="34"/>
      <c r="F200" s="34"/>
      <c r="G200" s="34"/>
      <c r="H200" s="34"/>
      <c r="I200" s="34"/>
      <c r="J200" s="34"/>
      <c r="K200" s="34"/>
      <c r="L200" s="34"/>
      <c r="M200" s="35"/>
      <c r="N200" s="34"/>
      <c r="O200" s="34"/>
      <c r="P200" s="34"/>
    </row>
    <row r="201" spans="1:16" ht="30" customHeight="1">
      <c r="A201" s="34"/>
      <c r="B201" s="34"/>
      <c r="C201" s="34"/>
      <c r="D201" s="34"/>
      <c r="E201" s="34"/>
      <c r="F201" s="34"/>
      <c r="G201" s="34"/>
      <c r="H201" s="34"/>
      <c r="I201" s="34"/>
      <c r="J201" s="34"/>
      <c r="K201" s="34"/>
      <c r="L201" s="34"/>
      <c r="M201" s="35"/>
      <c r="N201" s="34"/>
      <c r="O201" s="34"/>
      <c r="P201" s="34"/>
    </row>
    <row r="202" spans="1:16" ht="30" customHeight="1">
      <c r="A202" s="34"/>
      <c r="B202" s="34"/>
      <c r="C202" s="34"/>
      <c r="D202" s="34"/>
      <c r="E202" s="34"/>
      <c r="F202" s="34"/>
      <c r="G202" s="34"/>
      <c r="H202" s="34"/>
      <c r="I202" s="34"/>
      <c r="J202" s="34"/>
      <c r="K202" s="34"/>
      <c r="L202" s="34"/>
      <c r="M202" s="35"/>
      <c r="N202" s="34"/>
      <c r="O202" s="34"/>
      <c r="P202" s="34"/>
    </row>
    <row r="203" spans="1:16" ht="30" customHeight="1">
      <c r="A203" s="34"/>
      <c r="B203" s="34"/>
      <c r="C203" s="34"/>
      <c r="D203" s="34"/>
      <c r="E203" s="34"/>
      <c r="F203" s="34"/>
      <c r="G203" s="34"/>
      <c r="H203" s="34"/>
      <c r="I203" s="34"/>
      <c r="J203" s="34"/>
      <c r="K203" s="34"/>
      <c r="L203" s="34"/>
      <c r="M203" s="35"/>
      <c r="N203" s="34"/>
      <c r="O203" s="34"/>
      <c r="P203" s="34"/>
    </row>
    <row r="204" spans="1:16" ht="30" customHeight="1">
      <c r="A204" s="34"/>
      <c r="B204" s="34"/>
      <c r="C204" s="34"/>
      <c r="D204" s="34"/>
      <c r="E204" s="34"/>
      <c r="F204" s="34"/>
      <c r="G204" s="34"/>
      <c r="H204" s="34"/>
      <c r="I204" s="34"/>
      <c r="J204" s="34"/>
      <c r="K204" s="34"/>
      <c r="L204" s="34"/>
      <c r="M204" s="35"/>
      <c r="N204" s="34"/>
      <c r="O204" s="34"/>
      <c r="P204" s="34"/>
    </row>
    <row r="205" spans="1:16" ht="30" customHeight="1">
      <c r="A205" s="34"/>
      <c r="B205" s="34"/>
      <c r="C205" s="34"/>
      <c r="D205" s="34"/>
      <c r="E205" s="34"/>
      <c r="F205" s="34"/>
      <c r="G205" s="34"/>
      <c r="H205" s="34"/>
      <c r="I205" s="34"/>
      <c r="J205" s="34"/>
      <c r="K205" s="34"/>
      <c r="L205" s="34"/>
      <c r="M205" s="35"/>
      <c r="N205" s="34"/>
      <c r="O205" s="34"/>
      <c r="P205" s="34"/>
    </row>
    <row r="206" spans="1:16" ht="30" customHeight="1">
      <c r="A206" s="34"/>
      <c r="B206" s="34"/>
      <c r="C206" s="34"/>
      <c r="D206" s="34"/>
      <c r="E206" s="34"/>
      <c r="F206" s="34"/>
      <c r="G206" s="34"/>
      <c r="H206" s="34"/>
      <c r="I206" s="34"/>
      <c r="J206" s="34"/>
      <c r="K206" s="34"/>
      <c r="L206" s="34"/>
      <c r="M206" s="35"/>
      <c r="N206" s="34"/>
      <c r="O206" s="34"/>
      <c r="P206" s="34"/>
    </row>
    <row r="207" spans="1:16" ht="30" customHeight="1">
      <c r="A207" s="34"/>
      <c r="B207" s="34"/>
      <c r="C207" s="34"/>
      <c r="D207" s="34"/>
      <c r="E207" s="34"/>
      <c r="F207" s="34"/>
      <c r="G207" s="34"/>
      <c r="H207" s="34"/>
      <c r="I207" s="34"/>
      <c r="J207" s="34"/>
      <c r="K207" s="34"/>
      <c r="L207" s="34"/>
      <c r="M207" s="35"/>
      <c r="N207" s="34"/>
      <c r="O207" s="34"/>
      <c r="P207" s="34"/>
    </row>
    <row r="208" spans="1:16" ht="30" customHeight="1">
      <c r="A208" s="34"/>
      <c r="B208" s="34"/>
      <c r="C208" s="34"/>
      <c r="D208" s="34"/>
      <c r="E208" s="34"/>
      <c r="F208" s="34"/>
      <c r="G208" s="34"/>
      <c r="H208" s="34"/>
      <c r="I208" s="34"/>
      <c r="J208" s="34"/>
      <c r="K208" s="34"/>
      <c r="L208" s="34"/>
      <c r="M208" s="35"/>
      <c r="N208" s="34"/>
      <c r="O208" s="34"/>
      <c r="P208" s="34"/>
    </row>
    <row r="209" spans="1:16" ht="30" customHeight="1">
      <c r="A209" s="34"/>
      <c r="B209" s="34"/>
      <c r="C209" s="34"/>
      <c r="D209" s="34"/>
      <c r="E209" s="34"/>
      <c r="F209" s="34"/>
      <c r="G209" s="34"/>
      <c r="H209" s="34"/>
      <c r="I209" s="34"/>
      <c r="J209" s="34"/>
      <c r="K209" s="34"/>
      <c r="L209" s="34"/>
      <c r="M209" s="35"/>
      <c r="N209" s="34"/>
      <c r="O209" s="34"/>
      <c r="P209" s="34"/>
    </row>
    <row r="210" spans="1:16" ht="30" customHeight="1">
      <c r="A210" s="34"/>
      <c r="B210" s="34"/>
      <c r="C210" s="34"/>
      <c r="D210" s="34"/>
      <c r="E210" s="34"/>
      <c r="F210" s="34"/>
      <c r="G210" s="34"/>
      <c r="H210" s="34"/>
      <c r="I210" s="34"/>
      <c r="J210" s="34"/>
      <c r="K210" s="34"/>
      <c r="L210" s="34"/>
      <c r="M210" s="35"/>
      <c r="N210" s="34"/>
      <c r="O210" s="34"/>
      <c r="P210" s="34"/>
    </row>
    <row r="211" spans="1:16" ht="30" customHeight="1">
      <c r="A211" s="34"/>
      <c r="B211" s="34"/>
      <c r="C211" s="34"/>
      <c r="D211" s="34"/>
      <c r="E211" s="34"/>
      <c r="F211" s="34"/>
      <c r="G211" s="34"/>
      <c r="H211" s="34"/>
      <c r="I211" s="34"/>
      <c r="J211" s="34"/>
      <c r="K211" s="34"/>
      <c r="L211" s="34"/>
      <c r="M211" s="35"/>
      <c r="N211" s="34"/>
      <c r="O211" s="34"/>
      <c r="P211" s="34"/>
    </row>
    <row r="212" spans="1:16" ht="30" customHeight="1">
      <c r="A212" s="34"/>
      <c r="B212" s="34"/>
      <c r="C212" s="34"/>
      <c r="D212" s="34"/>
      <c r="E212" s="34"/>
      <c r="F212" s="34"/>
      <c r="G212" s="34"/>
      <c r="H212" s="34"/>
      <c r="I212" s="34"/>
      <c r="J212" s="34"/>
      <c r="K212" s="34"/>
      <c r="L212" s="34"/>
      <c r="M212" s="35"/>
      <c r="N212" s="34"/>
      <c r="O212" s="34"/>
      <c r="P212" s="34"/>
    </row>
    <row r="213" spans="1:16" ht="30" customHeight="1">
      <c r="A213" s="34"/>
      <c r="B213" s="34"/>
      <c r="C213" s="34"/>
      <c r="D213" s="34"/>
      <c r="E213" s="34"/>
      <c r="F213" s="34"/>
      <c r="G213" s="34"/>
      <c r="H213" s="34"/>
      <c r="I213" s="34"/>
      <c r="J213" s="34"/>
      <c r="K213" s="34"/>
      <c r="L213" s="34"/>
      <c r="M213" s="35"/>
      <c r="N213" s="34"/>
      <c r="O213" s="34"/>
      <c r="P213" s="34"/>
    </row>
    <row r="214" spans="1:16" ht="30" customHeight="1">
      <c r="A214" s="34"/>
      <c r="B214" s="34"/>
      <c r="C214" s="34"/>
      <c r="D214" s="34"/>
      <c r="E214" s="34"/>
      <c r="F214" s="34"/>
      <c r="G214" s="34"/>
      <c r="H214" s="34"/>
      <c r="I214" s="34"/>
      <c r="J214" s="34"/>
      <c r="K214" s="34"/>
      <c r="L214" s="34"/>
      <c r="M214" s="35"/>
      <c r="N214" s="34"/>
      <c r="O214" s="34"/>
      <c r="P214" s="34"/>
    </row>
    <row r="215" spans="1:16" ht="30" customHeight="1">
      <c r="A215" s="34"/>
      <c r="B215" s="34"/>
      <c r="C215" s="34"/>
      <c r="D215" s="34"/>
      <c r="E215" s="34"/>
      <c r="F215" s="34"/>
      <c r="G215" s="34"/>
      <c r="H215" s="34"/>
      <c r="I215" s="34"/>
      <c r="J215" s="34"/>
      <c r="K215" s="34"/>
      <c r="L215" s="34"/>
      <c r="M215" s="35"/>
      <c r="N215" s="34"/>
      <c r="O215" s="34"/>
      <c r="P215" s="34"/>
    </row>
    <row r="216" spans="1:16" ht="30" customHeight="1">
      <c r="A216" s="34"/>
      <c r="B216" s="34"/>
      <c r="C216" s="34"/>
      <c r="D216" s="34"/>
      <c r="E216" s="34"/>
      <c r="F216" s="34"/>
      <c r="G216" s="34"/>
      <c r="H216" s="34"/>
      <c r="I216" s="34"/>
      <c r="J216" s="34"/>
      <c r="K216" s="34"/>
      <c r="L216" s="34"/>
      <c r="M216" s="35"/>
      <c r="N216" s="34"/>
      <c r="O216" s="34"/>
      <c r="P216" s="34"/>
    </row>
    <row r="217" spans="1:16" ht="30" customHeight="1">
      <c r="A217" s="34"/>
      <c r="B217" s="34"/>
      <c r="C217" s="34"/>
      <c r="D217" s="34"/>
      <c r="E217" s="34"/>
      <c r="F217" s="34"/>
      <c r="G217" s="34"/>
      <c r="H217" s="34"/>
      <c r="I217" s="34"/>
      <c r="J217" s="34"/>
      <c r="K217" s="34"/>
      <c r="L217" s="34"/>
      <c r="M217" s="35"/>
      <c r="N217" s="34"/>
      <c r="O217" s="34"/>
      <c r="P217" s="34"/>
    </row>
    <row r="218" spans="1:16" ht="30" customHeight="1">
      <c r="A218" s="34"/>
      <c r="B218" s="34"/>
      <c r="C218" s="34"/>
      <c r="D218" s="34"/>
      <c r="E218" s="34"/>
      <c r="F218" s="34"/>
      <c r="G218" s="34"/>
      <c r="H218" s="34"/>
      <c r="I218" s="34"/>
      <c r="J218" s="34"/>
      <c r="K218" s="34"/>
      <c r="L218" s="34"/>
      <c r="M218" s="35"/>
      <c r="N218" s="34"/>
      <c r="O218" s="34"/>
      <c r="P218" s="34"/>
    </row>
    <row r="219" spans="1:16" ht="30" customHeight="1">
      <c r="A219" s="34"/>
      <c r="B219" s="34"/>
      <c r="C219" s="34"/>
      <c r="D219" s="34"/>
      <c r="E219" s="34"/>
      <c r="F219" s="34"/>
      <c r="G219" s="34"/>
      <c r="H219" s="34"/>
      <c r="I219" s="34"/>
      <c r="J219" s="34"/>
      <c r="K219" s="34"/>
      <c r="L219" s="34"/>
      <c r="M219" s="35"/>
      <c r="N219" s="34"/>
      <c r="O219" s="34"/>
      <c r="P219" s="34"/>
    </row>
    <row r="220" spans="1:16" ht="30" customHeight="1">
      <c r="A220" s="34"/>
      <c r="B220" s="34"/>
      <c r="C220" s="34"/>
      <c r="D220" s="34"/>
      <c r="E220" s="34"/>
      <c r="F220" s="34"/>
      <c r="G220" s="34"/>
      <c r="H220" s="34"/>
      <c r="I220" s="34"/>
      <c r="J220" s="34"/>
      <c r="K220" s="34"/>
      <c r="L220" s="34"/>
      <c r="M220" s="35"/>
      <c r="N220" s="34"/>
      <c r="O220" s="34"/>
      <c r="P220" s="34"/>
    </row>
    <row r="221" spans="1:16" ht="30" customHeight="1">
      <c r="A221" s="34"/>
      <c r="B221" s="34"/>
      <c r="C221" s="34"/>
      <c r="D221" s="34"/>
      <c r="E221" s="34"/>
      <c r="F221" s="34"/>
      <c r="G221" s="34"/>
      <c r="H221" s="34"/>
      <c r="I221" s="34"/>
      <c r="J221" s="34"/>
      <c r="K221" s="34"/>
      <c r="L221" s="34"/>
      <c r="M221" s="35"/>
      <c r="N221" s="34"/>
      <c r="O221" s="34"/>
      <c r="P221" s="34"/>
    </row>
    <row r="222" spans="1:16" ht="30" customHeight="1">
      <c r="A222" s="34"/>
      <c r="B222" s="34"/>
      <c r="C222" s="34"/>
      <c r="D222" s="34"/>
      <c r="E222" s="34"/>
      <c r="F222" s="34"/>
      <c r="G222" s="34"/>
      <c r="H222" s="34"/>
      <c r="I222" s="34"/>
      <c r="J222" s="34"/>
      <c r="K222" s="34"/>
      <c r="L222" s="34"/>
      <c r="M222" s="35"/>
      <c r="N222" s="34"/>
      <c r="O222" s="34"/>
      <c r="P222" s="34"/>
    </row>
    <row r="223" spans="1:16" ht="30" customHeight="1">
      <c r="A223" s="34"/>
      <c r="B223" s="34"/>
      <c r="C223" s="34"/>
      <c r="D223" s="34"/>
      <c r="E223" s="34"/>
      <c r="F223" s="34"/>
      <c r="G223" s="34"/>
      <c r="H223" s="34"/>
      <c r="I223" s="34"/>
      <c r="J223" s="34"/>
      <c r="K223" s="34"/>
      <c r="L223" s="34"/>
      <c r="M223" s="35"/>
      <c r="N223" s="34"/>
      <c r="O223" s="34"/>
      <c r="P223" s="34"/>
    </row>
    <row r="224" spans="1:16" ht="30" customHeight="1">
      <c r="A224" s="34"/>
      <c r="B224" s="34"/>
      <c r="C224" s="34"/>
      <c r="D224" s="34"/>
      <c r="E224" s="34"/>
      <c r="F224" s="34"/>
      <c r="G224" s="34"/>
      <c r="H224" s="34"/>
      <c r="I224" s="34"/>
      <c r="J224" s="34"/>
      <c r="K224" s="34"/>
      <c r="L224" s="34"/>
      <c r="M224" s="35"/>
      <c r="N224" s="34"/>
      <c r="O224" s="34"/>
      <c r="P224" s="34"/>
    </row>
    <row r="225" spans="1:16" ht="30" customHeight="1">
      <c r="A225" s="34"/>
      <c r="B225" s="34"/>
      <c r="C225" s="34"/>
      <c r="D225" s="34"/>
      <c r="E225" s="34"/>
      <c r="F225" s="34"/>
      <c r="G225" s="34"/>
      <c r="H225" s="34"/>
      <c r="I225" s="34"/>
      <c r="J225" s="34"/>
      <c r="K225" s="34"/>
      <c r="L225" s="34"/>
      <c r="M225" s="35"/>
      <c r="N225" s="34"/>
      <c r="O225" s="34"/>
      <c r="P225" s="34"/>
    </row>
    <row r="226" spans="1:16" ht="30" customHeight="1">
      <c r="A226" s="34"/>
      <c r="B226" s="34"/>
      <c r="C226" s="34"/>
      <c r="D226" s="34"/>
      <c r="E226" s="34"/>
      <c r="F226" s="34"/>
      <c r="G226" s="34"/>
      <c r="H226" s="34"/>
      <c r="I226" s="34"/>
      <c r="J226" s="34"/>
      <c r="K226" s="34"/>
      <c r="L226" s="34"/>
      <c r="M226" s="35"/>
      <c r="N226" s="34"/>
      <c r="O226" s="34"/>
      <c r="P226" s="34"/>
    </row>
    <row r="227" spans="1:16" ht="30" customHeight="1">
      <c r="A227" s="34"/>
      <c r="B227" s="34"/>
      <c r="C227" s="34"/>
      <c r="D227" s="34"/>
      <c r="E227" s="34"/>
      <c r="F227" s="34"/>
      <c r="G227" s="34"/>
      <c r="H227" s="34"/>
      <c r="I227" s="34"/>
      <c r="J227" s="34"/>
      <c r="K227" s="34"/>
      <c r="L227" s="34"/>
      <c r="M227" s="35"/>
      <c r="N227" s="34"/>
      <c r="O227" s="34"/>
      <c r="P227" s="34"/>
    </row>
    <row r="228" spans="1:16" ht="30" customHeight="1">
      <c r="A228" s="34"/>
      <c r="B228" s="34"/>
      <c r="C228" s="34"/>
      <c r="D228" s="34"/>
      <c r="E228" s="34"/>
      <c r="F228" s="34"/>
      <c r="G228" s="34"/>
      <c r="H228" s="34"/>
      <c r="I228" s="34"/>
      <c r="J228" s="34"/>
      <c r="K228" s="34"/>
      <c r="L228" s="34"/>
      <c r="M228" s="35"/>
      <c r="N228" s="34"/>
      <c r="O228" s="34"/>
      <c r="P228" s="34"/>
    </row>
    <row r="229" spans="1:16" ht="30" customHeight="1">
      <c r="A229" s="34"/>
      <c r="B229" s="34"/>
      <c r="C229" s="34"/>
      <c r="D229" s="34"/>
      <c r="E229" s="34"/>
      <c r="F229" s="34"/>
      <c r="G229" s="34"/>
      <c r="H229" s="34"/>
      <c r="I229" s="34"/>
      <c r="J229" s="34"/>
      <c r="K229" s="34"/>
      <c r="L229" s="34"/>
      <c r="M229" s="35"/>
      <c r="N229" s="34"/>
      <c r="O229" s="34"/>
      <c r="P229" s="34"/>
    </row>
    <row r="230" spans="1:16" ht="30" customHeight="1">
      <c r="A230" s="34"/>
      <c r="B230" s="34"/>
      <c r="C230" s="34"/>
      <c r="D230" s="34"/>
      <c r="E230" s="34"/>
      <c r="F230" s="34"/>
      <c r="G230" s="34"/>
      <c r="H230" s="34"/>
      <c r="I230" s="34"/>
      <c r="J230" s="34"/>
      <c r="K230" s="34"/>
      <c r="L230" s="34"/>
      <c r="M230" s="35"/>
      <c r="N230" s="34"/>
      <c r="O230" s="34"/>
      <c r="P230" s="34"/>
    </row>
    <row r="231" spans="1:16" ht="30" customHeight="1">
      <c r="A231" s="34"/>
      <c r="B231" s="34"/>
      <c r="C231" s="34"/>
      <c r="D231" s="34"/>
      <c r="E231" s="34"/>
      <c r="F231" s="34"/>
      <c r="G231" s="34"/>
      <c r="H231" s="34"/>
      <c r="I231" s="34"/>
      <c r="J231" s="34"/>
      <c r="K231" s="34"/>
      <c r="L231" s="34"/>
      <c r="M231" s="35"/>
      <c r="N231" s="34"/>
      <c r="O231" s="34"/>
      <c r="P231" s="34"/>
    </row>
    <row r="232" spans="1:16" ht="30" customHeight="1">
      <c r="A232" s="34"/>
      <c r="B232" s="34"/>
      <c r="C232" s="34"/>
      <c r="D232" s="34"/>
      <c r="E232" s="34"/>
      <c r="F232" s="34"/>
      <c r="G232" s="34"/>
      <c r="H232" s="34"/>
      <c r="I232" s="34"/>
      <c r="J232" s="34"/>
      <c r="K232" s="34"/>
      <c r="L232" s="34"/>
      <c r="M232" s="35"/>
      <c r="N232" s="34"/>
      <c r="O232" s="34"/>
      <c r="P232" s="34"/>
    </row>
    <row r="233" spans="1:16" ht="30" customHeight="1">
      <c r="A233" s="34"/>
      <c r="B233" s="34"/>
      <c r="C233" s="34"/>
      <c r="D233" s="34"/>
      <c r="E233" s="34"/>
      <c r="F233" s="34"/>
      <c r="G233" s="34"/>
      <c r="H233" s="34"/>
      <c r="I233" s="34"/>
      <c r="J233" s="34"/>
      <c r="K233" s="34"/>
      <c r="L233" s="34"/>
      <c r="M233" s="35"/>
      <c r="N233" s="34"/>
      <c r="O233" s="34"/>
      <c r="P233" s="34"/>
    </row>
    <row r="234" spans="1:16" ht="30" customHeight="1">
      <c r="A234" s="34"/>
      <c r="B234" s="34"/>
      <c r="C234" s="34"/>
      <c r="D234" s="34"/>
      <c r="E234" s="34"/>
      <c r="F234" s="34"/>
      <c r="G234" s="34"/>
      <c r="H234" s="34"/>
      <c r="I234" s="34"/>
      <c r="J234" s="34"/>
      <c r="K234" s="34"/>
      <c r="L234" s="34"/>
      <c r="M234" s="35"/>
      <c r="N234" s="34"/>
      <c r="O234" s="34"/>
      <c r="P234" s="34"/>
    </row>
    <row r="235" spans="1:16" ht="30" customHeight="1">
      <c r="A235" s="34"/>
      <c r="B235" s="34"/>
      <c r="C235" s="34"/>
      <c r="D235" s="34"/>
      <c r="E235" s="34"/>
      <c r="F235" s="34"/>
      <c r="G235" s="34"/>
      <c r="H235" s="34"/>
      <c r="I235" s="34"/>
      <c r="J235" s="34"/>
      <c r="K235" s="34"/>
      <c r="L235" s="34"/>
      <c r="M235" s="35"/>
      <c r="N235" s="34"/>
      <c r="O235" s="34"/>
      <c r="P235" s="34"/>
    </row>
    <row r="236" spans="1:16" ht="30" customHeight="1">
      <c r="A236" s="34"/>
      <c r="B236" s="34"/>
      <c r="C236" s="34"/>
      <c r="D236" s="34"/>
      <c r="E236" s="34"/>
      <c r="F236" s="34"/>
      <c r="G236" s="34"/>
      <c r="H236" s="34"/>
      <c r="I236" s="34"/>
      <c r="J236" s="34"/>
      <c r="K236" s="34"/>
      <c r="L236" s="34"/>
      <c r="M236" s="35"/>
      <c r="N236" s="34"/>
      <c r="O236" s="34"/>
      <c r="P236" s="34"/>
    </row>
    <row r="237" spans="1:16" ht="30" customHeight="1">
      <c r="A237" s="34"/>
      <c r="B237" s="34"/>
      <c r="C237" s="34"/>
      <c r="D237" s="34"/>
      <c r="E237" s="34"/>
      <c r="F237" s="34"/>
      <c r="G237" s="34"/>
      <c r="H237" s="34"/>
      <c r="I237" s="34"/>
      <c r="J237" s="34"/>
      <c r="K237" s="34"/>
      <c r="L237" s="34"/>
      <c r="M237" s="35"/>
      <c r="N237" s="34"/>
      <c r="O237" s="34"/>
      <c r="P237" s="34"/>
    </row>
    <row r="238" spans="1:16" ht="30" customHeight="1">
      <c r="A238" s="34"/>
      <c r="B238" s="34"/>
      <c r="C238" s="34"/>
      <c r="D238" s="34"/>
      <c r="E238" s="34"/>
      <c r="F238" s="34"/>
      <c r="G238" s="34"/>
      <c r="H238" s="34"/>
      <c r="I238" s="34"/>
      <c r="J238" s="34"/>
      <c r="K238" s="34"/>
      <c r="L238" s="34"/>
      <c r="M238" s="35"/>
      <c r="N238" s="34"/>
      <c r="O238" s="34"/>
      <c r="P238" s="34"/>
    </row>
    <row r="239" spans="1:16" ht="30" customHeight="1">
      <c r="A239" s="34"/>
      <c r="B239" s="34"/>
      <c r="C239" s="34"/>
      <c r="D239" s="34"/>
      <c r="E239" s="34"/>
      <c r="F239" s="34"/>
      <c r="G239" s="34"/>
      <c r="H239" s="34"/>
      <c r="I239" s="34"/>
      <c r="J239" s="34"/>
      <c r="K239" s="34"/>
      <c r="L239" s="34"/>
      <c r="M239" s="35"/>
      <c r="N239" s="34"/>
      <c r="O239" s="34"/>
      <c r="P239" s="34"/>
    </row>
    <row r="240" spans="1:16" ht="30" customHeight="1">
      <c r="A240" s="34"/>
      <c r="B240" s="34"/>
      <c r="C240" s="34"/>
      <c r="D240" s="34"/>
      <c r="E240" s="34"/>
      <c r="F240" s="34"/>
      <c r="G240" s="34"/>
      <c r="H240" s="34"/>
      <c r="I240" s="34"/>
      <c r="J240" s="34"/>
      <c r="K240" s="34"/>
      <c r="L240" s="34"/>
      <c r="M240" s="35"/>
      <c r="N240" s="34"/>
      <c r="O240" s="34"/>
      <c r="P240" s="34"/>
    </row>
    <row r="241" spans="1:16" ht="30" customHeight="1">
      <c r="A241" s="34"/>
      <c r="B241" s="34"/>
      <c r="C241" s="34"/>
      <c r="D241" s="34"/>
      <c r="E241" s="34"/>
      <c r="F241" s="34"/>
      <c r="G241" s="34"/>
      <c r="H241" s="34"/>
      <c r="I241" s="34"/>
      <c r="J241" s="34"/>
      <c r="K241" s="34"/>
      <c r="L241" s="34"/>
      <c r="M241" s="35"/>
      <c r="N241" s="34"/>
      <c r="O241" s="34"/>
      <c r="P241" s="34"/>
    </row>
    <row r="242" spans="1:16" ht="30" customHeight="1">
      <c r="A242" s="34"/>
      <c r="B242" s="34"/>
      <c r="C242" s="34"/>
      <c r="D242" s="34"/>
      <c r="E242" s="34"/>
      <c r="F242" s="34"/>
      <c r="G242" s="34"/>
      <c r="H242" s="34"/>
      <c r="I242" s="34"/>
      <c r="J242" s="34"/>
      <c r="K242" s="34"/>
      <c r="L242" s="34"/>
      <c r="M242" s="35"/>
      <c r="N242" s="34"/>
      <c r="O242" s="34"/>
      <c r="P242" s="34"/>
    </row>
    <row r="243" spans="1:16" ht="30" customHeight="1">
      <c r="A243" s="34"/>
      <c r="B243" s="34"/>
      <c r="C243" s="34"/>
      <c r="D243" s="34"/>
      <c r="E243" s="34"/>
      <c r="F243" s="34"/>
      <c r="G243" s="34"/>
      <c r="H243" s="34"/>
      <c r="I243" s="34"/>
      <c r="J243" s="34"/>
      <c r="K243" s="34"/>
      <c r="L243" s="34"/>
      <c r="M243" s="35"/>
      <c r="N243" s="34"/>
      <c r="O243" s="34"/>
      <c r="P243" s="34"/>
    </row>
    <row r="244" spans="1:16" ht="30" customHeight="1">
      <c r="A244" s="34"/>
      <c r="B244" s="34"/>
      <c r="C244" s="34"/>
      <c r="D244" s="34"/>
      <c r="E244" s="34"/>
      <c r="F244" s="34"/>
      <c r="G244" s="34"/>
      <c r="H244" s="34"/>
      <c r="I244" s="34"/>
      <c r="J244" s="34"/>
      <c r="K244" s="34"/>
      <c r="L244" s="34"/>
      <c r="M244" s="35"/>
      <c r="N244" s="34"/>
      <c r="O244" s="34"/>
      <c r="P244" s="34"/>
    </row>
    <row r="245" spans="1:16" ht="30" customHeight="1">
      <c r="A245" s="34"/>
      <c r="B245" s="34"/>
      <c r="C245" s="34"/>
      <c r="D245" s="34"/>
      <c r="E245" s="34"/>
      <c r="F245" s="34"/>
      <c r="G245" s="34"/>
      <c r="H245" s="34"/>
      <c r="I245" s="34"/>
      <c r="J245" s="34"/>
      <c r="K245" s="34"/>
      <c r="L245" s="34"/>
      <c r="M245" s="35"/>
      <c r="N245" s="34"/>
      <c r="O245" s="34"/>
      <c r="P245" s="34"/>
    </row>
    <row r="246" spans="1:16" ht="30" customHeight="1">
      <c r="A246" s="34"/>
      <c r="B246" s="34"/>
      <c r="C246" s="34"/>
      <c r="D246" s="34"/>
      <c r="E246" s="34"/>
      <c r="F246" s="34"/>
      <c r="G246" s="34"/>
      <c r="H246" s="34"/>
      <c r="I246" s="34"/>
      <c r="J246" s="34"/>
      <c r="K246" s="34"/>
      <c r="L246" s="34"/>
      <c r="M246" s="35"/>
      <c r="N246" s="34"/>
      <c r="O246" s="34"/>
      <c r="P246" s="34"/>
    </row>
    <row r="247" spans="1:16" ht="30" customHeight="1">
      <c r="A247" s="34"/>
      <c r="B247" s="34"/>
      <c r="C247" s="34"/>
      <c r="D247" s="34"/>
      <c r="E247" s="34"/>
      <c r="F247" s="34"/>
      <c r="G247" s="34"/>
      <c r="H247" s="34"/>
      <c r="I247" s="34"/>
      <c r="J247" s="34"/>
      <c r="K247" s="34"/>
      <c r="L247" s="34"/>
      <c r="M247" s="35"/>
      <c r="N247" s="34"/>
      <c r="O247" s="34"/>
      <c r="P247" s="34"/>
    </row>
    <row r="248" spans="1:16" ht="30" customHeight="1">
      <c r="A248" s="34"/>
      <c r="B248" s="34"/>
      <c r="C248" s="34"/>
      <c r="D248" s="34"/>
      <c r="E248" s="34"/>
      <c r="F248" s="34"/>
      <c r="G248" s="34"/>
      <c r="H248" s="34"/>
      <c r="I248" s="34"/>
      <c r="J248" s="34"/>
      <c r="K248" s="34"/>
      <c r="L248" s="34"/>
      <c r="M248" s="35"/>
      <c r="N248" s="34"/>
      <c r="O248" s="34"/>
      <c r="P248" s="34"/>
    </row>
    <row r="249" spans="1:16" ht="30" customHeight="1">
      <c r="A249" s="34"/>
      <c r="B249" s="34"/>
      <c r="C249" s="34"/>
      <c r="D249" s="34"/>
      <c r="E249" s="34"/>
      <c r="F249" s="34"/>
      <c r="G249" s="34"/>
      <c r="H249" s="34"/>
      <c r="I249" s="34"/>
      <c r="J249" s="34"/>
      <c r="K249" s="34"/>
      <c r="L249" s="34"/>
      <c r="M249" s="35"/>
      <c r="N249" s="34"/>
      <c r="O249" s="34"/>
      <c r="P249" s="34"/>
    </row>
    <row r="250" spans="1:16" ht="30" customHeight="1">
      <c r="A250" s="34"/>
      <c r="B250" s="34"/>
      <c r="C250" s="34"/>
      <c r="D250" s="34"/>
      <c r="E250" s="34"/>
      <c r="F250" s="34"/>
      <c r="G250" s="34"/>
      <c r="H250" s="34"/>
      <c r="I250" s="34"/>
      <c r="J250" s="34"/>
      <c r="K250" s="34"/>
      <c r="L250" s="34"/>
      <c r="M250" s="35"/>
      <c r="N250" s="34"/>
      <c r="O250" s="34"/>
      <c r="P250" s="34"/>
    </row>
    <row r="251" spans="1:16" ht="30" customHeight="1">
      <c r="A251" s="34"/>
      <c r="B251" s="34"/>
      <c r="C251" s="34"/>
      <c r="D251" s="34"/>
      <c r="E251" s="34"/>
      <c r="F251" s="34"/>
      <c r="G251" s="34"/>
      <c r="H251" s="34"/>
      <c r="I251" s="34"/>
      <c r="J251" s="34"/>
      <c r="K251" s="34"/>
      <c r="L251" s="34"/>
      <c r="M251" s="35"/>
      <c r="N251" s="34"/>
      <c r="O251" s="34"/>
      <c r="P251" s="34"/>
    </row>
    <row r="252" spans="1:16" ht="30" customHeight="1">
      <c r="A252" s="34"/>
      <c r="B252" s="34"/>
      <c r="C252" s="34"/>
      <c r="D252" s="34"/>
      <c r="E252" s="34"/>
      <c r="F252" s="34"/>
      <c r="G252" s="34"/>
      <c r="H252" s="34"/>
      <c r="I252" s="34"/>
      <c r="J252" s="34"/>
      <c r="K252" s="34"/>
      <c r="L252" s="34"/>
      <c r="M252" s="35"/>
      <c r="N252" s="34"/>
      <c r="O252" s="34"/>
      <c r="P252" s="34"/>
    </row>
    <row r="253" spans="1:16" ht="30" customHeight="1">
      <c r="A253" s="34"/>
      <c r="B253" s="34"/>
      <c r="C253" s="34"/>
      <c r="D253" s="34"/>
      <c r="E253" s="34"/>
      <c r="F253" s="34"/>
      <c r="G253" s="34"/>
      <c r="H253" s="34"/>
      <c r="I253" s="34"/>
      <c r="J253" s="34"/>
      <c r="K253" s="34"/>
      <c r="L253" s="34"/>
      <c r="M253" s="35"/>
      <c r="N253" s="34"/>
      <c r="O253" s="34"/>
      <c r="P253" s="34"/>
    </row>
    <row r="254" spans="1:16" ht="30" customHeight="1">
      <c r="A254" s="34"/>
      <c r="B254" s="34"/>
      <c r="C254" s="34"/>
      <c r="D254" s="34"/>
      <c r="E254" s="34"/>
      <c r="F254" s="34"/>
      <c r="G254" s="34"/>
      <c r="H254" s="34"/>
      <c r="I254" s="34"/>
      <c r="J254" s="34"/>
      <c r="K254" s="34"/>
      <c r="L254" s="34"/>
      <c r="M254" s="35"/>
      <c r="N254" s="34"/>
      <c r="O254" s="34"/>
      <c r="P254" s="34"/>
    </row>
    <row r="255" spans="1:16" ht="30" customHeight="1">
      <c r="A255" s="34"/>
      <c r="B255" s="34"/>
      <c r="C255" s="34"/>
      <c r="D255" s="34"/>
      <c r="E255" s="34"/>
      <c r="F255" s="34"/>
      <c r="G255" s="34"/>
      <c r="H255" s="34"/>
      <c r="I255" s="34"/>
      <c r="J255" s="34"/>
      <c r="K255" s="34"/>
      <c r="L255" s="34"/>
      <c r="M255" s="35"/>
      <c r="N255" s="34"/>
      <c r="O255" s="34"/>
      <c r="P255" s="34"/>
    </row>
    <row r="256" spans="1:16" ht="30" customHeight="1">
      <c r="A256" s="34"/>
      <c r="B256" s="34"/>
      <c r="C256" s="34"/>
      <c r="D256" s="34"/>
      <c r="E256" s="34"/>
      <c r="F256" s="34"/>
      <c r="G256" s="34"/>
      <c r="H256" s="34"/>
      <c r="I256" s="34"/>
      <c r="J256" s="34"/>
      <c r="K256" s="34"/>
      <c r="L256" s="34"/>
      <c r="M256" s="35"/>
      <c r="N256" s="34"/>
      <c r="O256" s="34"/>
      <c r="P256" s="34"/>
    </row>
    <row r="257" spans="1:16" ht="30" customHeight="1">
      <c r="A257" s="34"/>
      <c r="B257" s="34"/>
      <c r="C257" s="34"/>
      <c r="D257" s="34"/>
      <c r="E257" s="34"/>
      <c r="F257" s="34"/>
      <c r="G257" s="34"/>
      <c r="H257" s="34"/>
      <c r="I257" s="34"/>
      <c r="J257" s="34"/>
      <c r="K257" s="34"/>
      <c r="L257" s="34"/>
      <c r="M257" s="35"/>
      <c r="N257" s="34"/>
      <c r="O257" s="34"/>
      <c r="P257" s="34"/>
    </row>
    <row r="258" spans="1:16" ht="30" customHeight="1">
      <c r="A258" s="34"/>
      <c r="B258" s="34"/>
      <c r="C258" s="34"/>
      <c r="D258" s="34"/>
      <c r="E258" s="34"/>
      <c r="F258" s="34"/>
      <c r="G258" s="34"/>
      <c r="H258" s="34"/>
      <c r="I258" s="34"/>
      <c r="J258" s="34"/>
      <c r="K258" s="34"/>
      <c r="L258" s="34"/>
      <c r="M258" s="35"/>
      <c r="N258" s="34"/>
      <c r="O258" s="34"/>
      <c r="P258" s="34"/>
    </row>
    <row r="259" spans="1:16" ht="30" customHeight="1">
      <c r="A259" s="34"/>
      <c r="B259" s="34"/>
      <c r="C259" s="34"/>
      <c r="D259" s="34"/>
      <c r="E259" s="34"/>
      <c r="F259" s="34"/>
      <c r="G259" s="34"/>
      <c r="H259" s="34"/>
      <c r="I259" s="34"/>
      <c r="J259" s="34"/>
      <c r="K259" s="34"/>
      <c r="L259" s="34"/>
      <c r="M259" s="35"/>
      <c r="N259" s="34"/>
      <c r="O259" s="34"/>
      <c r="P259" s="34"/>
    </row>
    <row r="260" spans="1:16" ht="30" customHeight="1">
      <c r="A260" s="34"/>
      <c r="B260" s="34"/>
      <c r="C260" s="34"/>
      <c r="D260" s="34"/>
      <c r="E260" s="34"/>
      <c r="F260" s="34"/>
      <c r="G260" s="34"/>
      <c r="H260" s="34"/>
      <c r="I260" s="34"/>
      <c r="J260" s="34"/>
      <c r="K260" s="34"/>
      <c r="L260" s="34"/>
      <c r="M260" s="35"/>
      <c r="N260" s="34"/>
      <c r="O260" s="34"/>
      <c r="P260" s="34"/>
    </row>
    <row r="261" spans="1:16" ht="30" customHeight="1">
      <c r="A261" s="34"/>
      <c r="B261" s="34"/>
      <c r="C261" s="34"/>
      <c r="D261" s="34"/>
      <c r="E261" s="34"/>
      <c r="F261" s="34"/>
      <c r="G261" s="34"/>
      <c r="H261" s="34"/>
      <c r="I261" s="34"/>
      <c r="J261" s="34"/>
      <c r="K261" s="34"/>
      <c r="L261" s="34"/>
      <c r="M261" s="35"/>
      <c r="N261" s="34"/>
      <c r="O261" s="34"/>
      <c r="P261" s="34"/>
    </row>
    <row r="262" spans="1:16" ht="30" customHeight="1">
      <c r="A262" s="34"/>
      <c r="B262" s="34"/>
      <c r="C262" s="34"/>
      <c r="D262" s="34"/>
      <c r="E262" s="34"/>
      <c r="F262" s="34"/>
      <c r="G262" s="34"/>
      <c r="H262" s="34"/>
      <c r="I262" s="34"/>
      <c r="J262" s="34"/>
      <c r="K262" s="34"/>
      <c r="L262" s="34"/>
      <c r="M262" s="35"/>
      <c r="N262" s="34"/>
      <c r="O262" s="34"/>
      <c r="P262" s="34"/>
    </row>
    <row r="263" spans="1:16" ht="30" customHeight="1">
      <c r="A263" s="34"/>
      <c r="B263" s="34"/>
      <c r="C263" s="34"/>
      <c r="D263" s="34"/>
      <c r="E263" s="34"/>
      <c r="F263" s="34"/>
      <c r="G263" s="34"/>
      <c r="H263" s="34"/>
      <c r="I263" s="34"/>
      <c r="J263" s="34"/>
      <c r="K263" s="34"/>
      <c r="L263" s="34"/>
      <c r="M263" s="35"/>
      <c r="N263" s="34"/>
      <c r="O263" s="34"/>
      <c r="P263" s="34"/>
    </row>
    <row r="264" spans="1:16" ht="30" customHeight="1">
      <c r="A264" s="34"/>
      <c r="B264" s="34"/>
      <c r="C264" s="34"/>
      <c r="D264" s="34"/>
      <c r="E264" s="34"/>
      <c r="F264" s="34"/>
      <c r="G264" s="34"/>
      <c r="H264" s="34"/>
      <c r="I264" s="34"/>
      <c r="J264" s="34"/>
      <c r="K264" s="34"/>
      <c r="L264" s="34"/>
      <c r="M264" s="35"/>
      <c r="N264" s="34"/>
      <c r="O264" s="34"/>
      <c r="P264" s="34"/>
    </row>
    <row r="265" spans="1:16" ht="30" customHeight="1">
      <c r="A265" s="34"/>
      <c r="B265" s="34"/>
      <c r="C265" s="34"/>
      <c r="D265" s="34"/>
      <c r="E265" s="34"/>
      <c r="F265" s="34"/>
      <c r="G265" s="34"/>
      <c r="H265" s="34"/>
      <c r="I265" s="34"/>
      <c r="J265" s="34"/>
      <c r="K265" s="34"/>
      <c r="L265" s="34"/>
      <c r="M265" s="35"/>
      <c r="N265" s="34"/>
      <c r="O265" s="34"/>
      <c r="P265" s="34"/>
    </row>
    <row r="266" spans="1:16" ht="30" customHeight="1">
      <c r="A266" s="34"/>
      <c r="B266" s="34"/>
      <c r="C266" s="34"/>
      <c r="D266" s="34"/>
      <c r="E266" s="34"/>
      <c r="F266" s="34"/>
      <c r="G266" s="34"/>
      <c r="H266" s="34"/>
      <c r="I266" s="34"/>
      <c r="J266" s="34"/>
      <c r="K266" s="34"/>
      <c r="L266" s="34"/>
      <c r="M266" s="35"/>
      <c r="N266" s="34"/>
      <c r="O266" s="34"/>
      <c r="P266" s="34"/>
    </row>
    <row r="267" spans="1:16" ht="30" customHeight="1">
      <c r="A267" s="34"/>
      <c r="B267" s="34"/>
      <c r="C267" s="34"/>
      <c r="D267" s="34"/>
      <c r="E267" s="34"/>
      <c r="F267" s="34"/>
      <c r="G267" s="34"/>
      <c r="H267" s="34"/>
      <c r="I267" s="34"/>
      <c r="J267" s="34"/>
      <c r="K267" s="34"/>
      <c r="L267" s="34"/>
      <c r="M267" s="35"/>
      <c r="N267" s="34"/>
      <c r="O267" s="34"/>
      <c r="P267" s="34"/>
    </row>
    <row r="268" spans="1:16" ht="30" customHeight="1">
      <c r="A268" s="34"/>
      <c r="B268" s="34"/>
      <c r="C268" s="34"/>
      <c r="D268" s="34"/>
      <c r="E268" s="34"/>
      <c r="F268" s="34"/>
      <c r="G268" s="34"/>
      <c r="H268" s="34"/>
      <c r="I268" s="34"/>
      <c r="J268" s="34"/>
      <c r="K268" s="34"/>
      <c r="L268" s="34"/>
      <c r="M268" s="35"/>
      <c r="N268" s="34"/>
      <c r="O268" s="34"/>
      <c r="P268" s="34"/>
    </row>
    <row r="269" spans="1:16" ht="30" customHeight="1">
      <c r="A269" s="34"/>
      <c r="B269" s="34"/>
      <c r="C269" s="34"/>
      <c r="D269" s="34"/>
      <c r="E269" s="34"/>
      <c r="F269" s="34"/>
      <c r="G269" s="34"/>
      <c r="H269" s="34"/>
      <c r="I269" s="34"/>
      <c r="J269" s="34"/>
      <c r="K269" s="34"/>
      <c r="L269" s="34"/>
      <c r="M269" s="35"/>
      <c r="N269" s="34"/>
      <c r="O269" s="34"/>
      <c r="P269" s="34"/>
    </row>
    <row r="270" spans="1:16" ht="30" customHeight="1">
      <c r="A270" s="34"/>
      <c r="B270" s="34"/>
      <c r="C270" s="34"/>
      <c r="D270" s="34"/>
      <c r="E270" s="34"/>
      <c r="F270" s="34"/>
      <c r="G270" s="34"/>
      <c r="H270" s="34"/>
      <c r="I270" s="34"/>
      <c r="J270" s="34"/>
      <c r="K270" s="34"/>
      <c r="L270" s="34"/>
      <c r="M270" s="35"/>
      <c r="N270" s="34"/>
      <c r="O270" s="34"/>
      <c r="P270" s="34"/>
    </row>
    <row r="271" spans="1:16" ht="30" customHeight="1">
      <c r="A271" s="34"/>
      <c r="B271" s="34"/>
      <c r="C271" s="34"/>
      <c r="D271" s="34"/>
      <c r="E271" s="34"/>
      <c r="F271" s="34"/>
      <c r="G271" s="34"/>
      <c r="H271" s="34"/>
      <c r="I271" s="34"/>
      <c r="J271" s="34"/>
      <c r="K271" s="34"/>
      <c r="L271" s="34"/>
      <c r="M271" s="35"/>
      <c r="N271" s="34"/>
      <c r="O271" s="34"/>
      <c r="P271" s="34"/>
    </row>
    <row r="272" spans="1:16" ht="30" customHeight="1">
      <c r="A272" s="34"/>
      <c r="B272" s="34"/>
      <c r="C272" s="34"/>
      <c r="D272" s="34"/>
      <c r="E272" s="34"/>
      <c r="F272" s="34"/>
      <c r="G272" s="34"/>
      <c r="H272" s="34"/>
      <c r="I272" s="34"/>
      <c r="J272" s="34"/>
      <c r="K272" s="34"/>
      <c r="L272" s="34"/>
      <c r="M272" s="35"/>
      <c r="N272" s="34"/>
      <c r="O272" s="34"/>
      <c r="P272" s="34"/>
    </row>
    <row r="273" spans="1:16" ht="30" customHeight="1">
      <c r="A273" s="34"/>
      <c r="B273" s="34"/>
      <c r="C273" s="34"/>
      <c r="D273" s="34"/>
      <c r="E273" s="34"/>
      <c r="F273" s="34"/>
      <c r="G273" s="34"/>
      <c r="H273" s="34"/>
      <c r="I273" s="34"/>
      <c r="J273" s="34"/>
      <c r="K273" s="34"/>
      <c r="L273" s="34"/>
      <c r="M273" s="35"/>
      <c r="N273" s="34"/>
      <c r="O273" s="34"/>
      <c r="P273" s="34"/>
    </row>
    <row r="274" spans="1:16" ht="30" customHeight="1">
      <c r="A274" s="34"/>
      <c r="B274" s="34"/>
      <c r="C274" s="34"/>
      <c r="D274" s="34"/>
      <c r="E274" s="34"/>
      <c r="F274" s="34"/>
      <c r="G274" s="34"/>
      <c r="H274" s="34"/>
      <c r="I274" s="34"/>
      <c r="J274" s="34"/>
      <c r="K274" s="34"/>
      <c r="L274" s="34"/>
      <c r="M274" s="35"/>
      <c r="N274" s="34"/>
      <c r="O274" s="34"/>
      <c r="P274" s="34"/>
    </row>
    <row r="275" spans="1:16" ht="30" customHeight="1">
      <c r="A275" s="34"/>
      <c r="B275" s="34"/>
      <c r="C275" s="34"/>
      <c r="D275" s="34"/>
      <c r="E275" s="34"/>
      <c r="F275" s="34"/>
      <c r="G275" s="34"/>
      <c r="H275" s="34"/>
      <c r="I275" s="34"/>
      <c r="J275" s="34"/>
      <c r="K275" s="34"/>
      <c r="L275" s="34"/>
      <c r="M275" s="35"/>
      <c r="N275" s="34"/>
      <c r="O275" s="34"/>
      <c r="P275" s="34"/>
    </row>
    <row r="276" spans="1:16" ht="30" customHeight="1">
      <c r="A276" s="34"/>
      <c r="B276" s="34"/>
      <c r="C276" s="34"/>
      <c r="D276" s="34"/>
      <c r="E276" s="34"/>
      <c r="F276" s="34"/>
      <c r="G276" s="34"/>
      <c r="H276" s="34"/>
      <c r="I276" s="34"/>
      <c r="J276" s="34"/>
      <c r="K276" s="34"/>
      <c r="L276" s="34"/>
      <c r="M276" s="35"/>
      <c r="N276" s="34"/>
      <c r="O276" s="34"/>
      <c r="P276" s="34"/>
    </row>
    <row r="277" spans="1:16" ht="30" customHeight="1">
      <c r="A277" s="34"/>
      <c r="B277" s="34"/>
      <c r="C277" s="34"/>
      <c r="D277" s="34"/>
      <c r="E277" s="34"/>
      <c r="F277" s="34"/>
      <c r="G277" s="34"/>
      <c r="H277" s="34"/>
      <c r="I277" s="34"/>
      <c r="J277" s="34"/>
      <c r="K277" s="34"/>
      <c r="L277" s="34"/>
      <c r="M277" s="35"/>
      <c r="N277" s="34"/>
      <c r="O277" s="34"/>
      <c r="P277" s="34"/>
    </row>
    <row r="278" spans="1:16" ht="30" customHeight="1">
      <c r="A278" s="34"/>
      <c r="B278" s="34"/>
      <c r="C278" s="34"/>
      <c r="D278" s="34"/>
      <c r="E278" s="34"/>
      <c r="F278" s="34"/>
      <c r="G278" s="34"/>
      <c r="H278" s="34"/>
      <c r="I278" s="34"/>
      <c r="J278" s="34"/>
      <c r="K278" s="34"/>
      <c r="L278" s="34"/>
      <c r="M278" s="35"/>
      <c r="N278" s="34"/>
      <c r="O278" s="34"/>
      <c r="P278" s="34"/>
    </row>
    <row r="279" spans="1:16" ht="30" customHeight="1">
      <c r="A279" s="34"/>
      <c r="B279" s="34"/>
      <c r="C279" s="34"/>
      <c r="D279" s="34"/>
      <c r="E279" s="34"/>
      <c r="F279" s="34"/>
      <c r="G279" s="34"/>
      <c r="H279" s="34"/>
      <c r="I279" s="34"/>
      <c r="J279" s="34"/>
      <c r="K279" s="34"/>
      <c r="L279" s="34"/>
      <c r="M279" s="35"/>
      <c r="N279" s="34"/>
      <c r="O279" s="34"/>
      <c r="P279" s="34"/>
    </row>
    <row r="280" spans="1:16" ht="30" customHeight="1">
      <c r="A280" s="34"/>
      <c r="B280" s="34"/>
      <c r="C280" s="34"/>
      <c r="D280" s="34"/>
      <c r="E280" s="34"/>
      <c r="F280" s="34"/>
      <c r="G280" s="34"/>
      <c r="H280" s="34"/>
      <c r="I280" s="34"/>
      <c r="J280" s="34"/>
      <c r="K280" s="34"/>
      <c r="L280" s="34"/>
      <c r="M280" s="35"/>
      <c r="N280" s="34"/>
      <c r="O280" s="34"/>
      <c r="P280" s="34"/>
    </row>
    <row r="281" spans="1:16" ht="30" customHeight="1">
      <c r="A281" s="34"/>
      <c r="B281" s="34"/>
      <c r="C281" s="34"/>
      <c r="D281" s="34"/>
      <c r="E281" s="34"/>
      <c r="F281" s="34"/>
      <c r="G281" s="34"/>
      <c r="H281" s="34"/>
      <c r="I281" s="34"/>
      <c r="J281" s="34"/>
      <c r="K281" s="34"/>
      <c r="L281" s="34"/>
      <c r="M281" s="35"/>
      <c r="N281" s="34"/>
      <c r="O281" s="34"/>
      <c r="P281" s="34"/>
    </row>
    <row r="282" spans="1:16" ht="30" customHeight="1">
      <c r="A282" s="34"/>
      <c r="B282" s="34"/>
      <c r="C282" s="34"/>
      <c r="D282" s="34"/>
      <c r="E282" s="34"/>
      <c r="F282" s="34"/>
      <c r="G282" s="34"/>
      <c r="H282" s="34"/>
      <c r="I282" s="34"/>
      <c r="J282" s="34"/>
      <c r="K282" s="34"/>
      <c r="L282" s="34"/>
      <c r="M282" s="35"/>
      <c r="N282" s="34"/>
      <c r="O282" s="34"/>
      <c r="P282" s="34"/>
    </row>
    <row r="283" spans="1:16" ht="30" customHeight="1">
      <c r="A283" s="34"/>
      <c r="B283" s="34"/>
      <c r="C283" s="34"/>
      <c r="D283" s="34"/>
      <c r="E283" s="34"/>
      <c r="F283" s="34"/>
      <c r="G283" s="34"/>
      <c r="H283" s="34"/>
      <c r="I283" s="34"/>
      <c r="J283" s="34"/>
      <c r="K283" s="34"/>
      <c r="L283" s="34"/>
      <c r="M283" s="35"/>
      <c r="N283" s="34"/>
      <c r="O283" s="34"/>
      <c r="P283" s="34"/>
    </row>
    <row r="284" spans="1:16" ht="30" customHeight="1">
      <c r="A284" s="34"/>
      <c r="B284" s="34"/>
      <c r="C284" s="34"/>
      <c r="D284" s="34"/>
      <c r="E284" s="34"/>
      <c r="F284" s="34"/>
      <c r="G284" s="34"/>
      <c r="H284" s="34"/>
      <c r="I284" s="34"/>
      <c r="J284" s="34"/>
      <c r="K284" s="34"/>
      <c r="L284" s="34"/>
      <c r="M284" s="35"/>
      <c r="N284" s="34"/>
      <c r="O284" s="34"/>
      <c r="P284" s="34"/>
    </row>
    <row r="285" spans="1:16" ht="30" customHeight="1">
      <c r="A285" s="34"/>
      <c r="B285" s="34"/>
      <c r="C285" s="34"/>
      <c r="D285" s="34"/>
      <c r="E285" s="34"/>
      <c r="F285" s="34"/>
      <c r="G285" s="34"/>
      <c r="H285" s="34"/>
      <c r="I285" s="34"/>
      <c r="J285" s="34"/>
      <c r="K285" s="34"/>
      <c r="L285" s="34"/>
      <c r="M285" s="35"/>
      <c r="N285" s="34"/>
      <c r="O285" s="34"/>
      <c r="P285" s="34"/>
    </row>
    <row r="286" spans="1:16" ht="30" customHeight="1">
      <c r="A286" s="34"/>
      <c r="B286" s="34"/>
      <c r="C286" s="34"/>
      <c r="D286" s="34"/>
      <c r="E286" s="34"/>
      <c r="F286" s="34"/>
      <c r="G286" s="34"/>
      <c r="H286" s="34"/>
      <c r="I286" s="34"/>
      <c r="J286" s="34"/>
      <c r="K286" s="34"/>
      <c r="L286" s="34"/>
      <c r="M286" s="35"/>
      <c r="N286" s="34"/>
      <c r="O286" s="34"/>
      <c r="P286" s="34"/>
    </row>
    <row r="287" spans="1:16" ht="30" customHeight="1">
      <c r="A287" s="34"/>
      <c r="B287" s="34"/>
      <c r="C287" s="34"/>
      <c r="D287" s="34"/>
      <c r="E287" s="34"/>
      <c r="F287" s="34"/>
      <c r="G287" s="34"/>
      <c r="H287" s="34"/>
      <c r="I287" s="34"/>
      <c r="J287" s="34"/>
      <c r="K287" s="34"/>
      <c r="L287" s="34"/>
      <c r="M287" s="35"/>
      <c r="N287" s="34"/>
      <c r="O287" s="34"/>
      <c r="P287" s="34"/>
    </row>
    <row r="288" spans="1:16" ht="30" customHeight="1">
      <c r="A288" s="34"/>
      <c r="B288" s="34"/>
      <c r="C288" s="34"/>
      <c r="D288" s="34"/>
      <c r="E288" s="34"/>
      <c r="F288" s="34"/>
      <c r="G288" s="34"/>
      <c r="H288" s="34"/>
      <c r="I288" s="34"/>
      <c r="J288" s="34"/>
      <c r="K288" s="34"/>
      <c r="L288" s="34"/>
      <c r="M288" s="35"/>
      <c r="N288" s="34"/>
      <c r="O288" s="34"/>
      <c r="P288" s="34"/>
    </row>
    <row r="289" spans="1:16" ht="30" customHeight="1">
      <c r="A289" s="34"/>
      <c r="B289" s="34"/>
      <c r="C289" s="34"/>
      <c r="D289" s="34"/>
      <c r="E289" s="34"/>
      <c r="F289" s="34"/>
      <c r="G289" s="34"/>
      <c r="H289" s="34"/>
      <c r="I289" s="34"/>
      <c r="J289" s="34"/>
      <c r="K289" s="34"/>
      <c r="L289" s="34"/>
      <c r="M289" s="35"/>
      <c r="N289" s="34"/>
      <c r="O289" s="34"/>
      <c r="P289" s="34"/>
    </row>
    <row r="290" spans="1:16" ht="30" customHeight="1">
      <c r="A290" s="34"/>
      <c r="B290" s="34"/>
      <c r="C290" s="34"/>
      <c r="D290" s="34"/>
      <c r="E290" s="34"/>
      <c r="F290" s="34"/>
      <c r="G290" s="34"/>
      <c r="H290" s="34"/>
      <c r="I290" s="34"/>
      <c r="J290" s="34"/>
      <c r="K290" s="34"/>
      <c r="L290" s="34"/>
      <c r="M290" s="35"/>
      <c r="N290" s="34"/>
      <c r="O290" s="34"/>
      <c r="P290" s="34"/>
    </row>
    <row r="291" spans="1:16" ht="30" customHeight="1">
      <c r="A291" s="34"/>
      <c r="B291" s="34"/>
      <c r="C291" s="34"/>
      <c r="D291" s="34"/>
      <c r="E291" s="34"/>
      <c r="F291" s="34"/>
      <c r="G291" s="34"/>
      <c r="H291" s="34"/>
      <c r="I291" s="34"/>
      <c r="J291" s="34"/>
      <c r="K291" s="34"/>
      <c r="L291" s="34"/>
      <c r="M291" s="35"/>
      <c r="N291" s="34"/>
      <c r="O291" s="34"/>
      <c r="P291" s="34"/>
    </row>
    <row r="292" spans="1:16" ht="30" customHeight="1">
      <c r="A292" s="34"/>
      <c r="B292" s="34"/>
      <c r="C292" s="34"/>
      <c r="D292" s="34"/>
      <c r="E292" s="34"/>
      <c r="F292" s="34"/>
      <c r="G292" s="34"/>
      <c r="H292" s="34"/>
      <c r="I292" s="34"/>
      <c r="J292" s="34"/>
      <c r="K292" s="34"/>
      <c r="L292" s="34"/>
      <c r="M292" s="35"/>
      <c r="N292" s="34"/>
      <c r="O292" s="34"/>
      <c r="P292" s="34"/>
    </row>
    <row r="293" spans="1:16" ht="30" customHeight="1">
      <c r="A293" s="34"/>
      <c r="B293" s="34"/>
      <c r="C293" s="34"/>
      <c r="D293" s="34"/>
      <c r="E293" s="34"/>
      <c r="F293" s="34"/>
      <c r="G293" s="34"/>
      <c r="H293" s="34"/>
      <c r="I293" s="34"/>
      <c r="J293" s="34"/>
      <c r="K293" s="34"/>
      <c r="L293" s="34"/>
      <c r="M293" s="35"/>
      <c r="N293" s="34"/>
      <c r="O293" s="34"/>
      <c r="P293" s="34"/>
    </row>
    <row r="294" spans="1:16" ht="30" customHeight="1">
      <c r="A294" s="34"/>
      <c r="B294" s="34"/>
      <c r="C294" s="34"/>
      <c r="D294" s="34"/>
      <c r="E294" s="34"/>
      <c r="F294" s="34"/>
      <c r="G294" s="34"/>
      <c r="H294" s="34"/>
      <c r="I294" s="34"/>
      <c r="J294" s="34"/>
      <c r="K294" s="34"/>
      <c r="L294" s="34"/>
      <c r="M294" s="35"/>
      <c r="N294" s="34"/>
      <c r="O294" s="34"/>
      <c r="P294" s="34"/>
    </row>
    <row r="295" spans="1:16" ht="30" customHeight="1">
      <c r="A295" s="34"/>
      <c r="B295" s="34"/>
      <c r="C295" s="34"/>
      <c r="D295" s="34"/>
      <c r="E295" s="34"/>
      <c r="F295" s="34"/>
      <c r="G295" s="34"/>
      <c r="H295" s="34"/>
      <c r="I295" s="34"/>
      <c r="J295" s="34"/>
      <c r="K295" s="34"/>
      <c r="L295" s="34"/>
      <c r="M295" s="35"/>
      <c r="N295" s="34"/>
      <c r="O295" s="34"/>
      <c r="P295" s="34"/>
    </row>
    <row r="296" spans="1:16" ht="30" customHeight="1">
      <c r="A296" s="34"/>
      <c r="B296" s="34"/>
      <c r="C296" s="34"/>
      <c r="D296" s="34"/>
      <c r="E296" s="34"/>
      <c r="F296" s="34"/>
      <c r="G296" s="34"/>
      <c r="H296" s="34"/>
      <c r="I296" s="34"/>
      <c r="J296" s="34"/>
      <c r="K296" s="34"/>
      <c r="L296" s="34"/>
      <c r="M296" s="35"/>
      <c r="N296" s="34"/>
      <c r="O296" s="34"/>
      <c r="P296" s="34"/>
    </row>
    <row r="297" spans="1:16" ht="30" customHeight="1">
      <c r="A297" s="34"/>
      <c r="B297" s="34"/>
      <c r="C297" s="34"/>
      <c r="D297" s="34"/>
      <c r="E297" s="34"/>
      <c r="F297" s="34"/>
      <c r="G297" s="34"/>
      <c r="H297" s="34"/>
      <c r="I297" s="34"/>
      <c r="J297" s="34"/>
      <c r="K297" s="34"/>
      <c r="L297" s="34"/>
      <c r="M297" s="35"/>
      <c r="N297" s="34"/>
      <c r="O297" s="34"/>
      <c r="P297" s="34"/>
    </row>
    <row r="298" spans="1:16" ht="30" customHeight="1">
      <c r="A298" s="34"/>
      <c r="B298" s="34"/>
      <c r="C298" s="34"/>
      <c r="D298" s="34"/>
      <c r="E298" s="34"/>
      <c r="F298" s="34"/>
      <c r="G298" s="34"/>
      <c r="H298" s="34"/>
      <c r="I298" s="34"/>
      <c r="J298" s="34"/>
      <c r="K298" s="34"/>
      <c r="L298" s="34"/>
      <c r="M298" s="35"/>
      <c r="N298" s="34"/>
      <c r="O298" s="34"/>
      <c r="P298" s="34"/>
    </row>
    <row r="299" spans="1:16" ht="30" customHeight="1">
      <c r="A299" s="34"/>
      <c r="B299" s="34"/>
      <c r="C299" s="34"/>
      <c r="D299" s="34"/>
      <c r="E299" s="34"/>
      <c r="F299" s="34"/>
      <c r="G299" s="34"/>
      <c r="H299" s="34"/>
      <c r="I299" s="34"/>
      <c r="J299" s="34"/>
      <c r="K299" s="34"/>
      <c r="L299" s="34"/>
      <c r="M299" s="35"/>
      <c r="N299" s="34"/>
      <c r="O299" s="34"/>
      <c r="P299" s="34"/>
    </row>
    <row r="300" spans="1:16" ht="30" customHeight="1">
      <c r="A300" s="34"/>
      <c r="B300" s="34"/>
      <c r="C300" s="34"/>
      <c r="D300" s="34"/>
      <c r="E300" s="34"/>
      <c r="F300" s="34"/>
      <c r="G300" s="34"/>
      <c r="H300" s="34"/>
      <c r="I300" s="34"/>
      <c r="J300" s="34"/>
      <c r="K300" s="34"/>
      <c r="L300" s="34"/>
      <c r="M300" s="35"/>
      <c r="N300" s="34"/>
      <c r="O300" s="34"/>
      <c r="P300" s="34"/>
    </row>
  </sheetData>
  <autoFilter ref="A3:P300" xr:uid="{00000000-0009-0000-0000-00000B000000}"/>
  <mergeCells count="2">
    <mergeCell ref="A1:P1"/>
    <mergeCell ref="A2:P2"/>
  </mergeCells>
  <conditionalFormatting sqref="I5:I300">
    <cfRule type="cellIs" dxfId="6" priority="2" operator="equal">
      <formula>"Pass"</formula>
    </cfRule>
    <cfRule type="cellIs" dxfId="5" priority="3" operator="equal">
      <formula>"Fail"</formula>
    </cfRule>
    <cfRule type="cellIs" dxfId="4" priority="4" operator="equal">
      <formula>"Blocked"</formula>
    </cfRule>
    <cfRule type="cellIs" dxfId="3" priority="5" operator="equal">
      <formula>"In Progress"</formula>
    </cfRule>
    <cfRule type="cellIs" dxfId="2" priority="6" operator="equal">
      <formula>"Not Executed"</formula>
    </cfRule>
    <cfRule type="cellIs" dxfId="1" priority="7" operator="equal">
      <formula>"Retest"</formula>
    </cfRule>
  </conditionalFormatting>
  <conditionalFormatting sqref="J5:J300">
    <cfRule type="cellIs" dxfId="0" priority="8" operator="equal">
      <formula>"Critical"</formula>
    </cfRule>
  </conditionalFormatting>
  <dataValidations count="5">
    <dataValidation type="list" allowBlank="1" errorTitle="Invalid Status" error="Please choose a status from the dropdown list." sqref="I5:I300" xr:uid="{00000000-0002-0000-0B00-000000000000}">
      <formula1>List_Status</formula1>
      <formula2>0</formula2>
    </dataValidation>
    <dataValidation type="list" allowBlank="1" sqref="J5:J300" xr:uid="{00000000-0002-0000-0B00-000001000000}">
      <formula1>List_Severity</formula1>
      <formula2>0</formula2>
    </dataValidation>
    <dataValidation type="list" allowBlank="1" sqref="K5:K300" xr:uid="{00000000-0002-0000-0B00-000002000000}">
      <formula1>List_Priority</formula1>
      <formula2>0</formula2>
    </dataValidation>
    <dataValidation type="list" allowBlank="1" sqref="L5:L300" xr:uid="{00000000-0002-0000-0B00-000003000000}">
      <formula1>List_Testers</formula1>
      <formula2>0</formula2>
    </dataValidation>
    <dataValidation type="list" allowBlank="1" sqref="N5:N300" xr:uid="{00000000-0002-0000-0B00-000004000000}">
      <formula1>List_Environment</formula1>
      <formula2>0</formula2>
    </dataValidation>
  </dataValidations>
  <hyperlinks>
    <hyperlink ref="A2" r:id="rId1" location="'Main%20Dashboard'!A1" xr:uid="{00000000-0004-0000-0B00-000000000000}"/>
  </hyperlinks>
  <pageMargins left="0.75" right="0.75" top="1" bottom="1" header="0.511811023622047" footer="0.511811023622047"/>
  <pageSetup paperSize="9" orientation="portrait" horizontalDpi="300" verticalDpi="300"/>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ABE21D962A11E428D513CD6C06769A6" ma:contentTypeVersion="3" ma:contentTypeDescription="Create a new document." ma:contentTypeScope="" ma:versionID="e7b7200d8594326b7fd8389d3fd54bd5">
  <xsd:schema xmlns:xsd="http://www.w3.org/2001/XMLSchema" xmlns:xs="http://www.w3.org/2001/XMLSchema" xmlns:p="http://schemas.microsoft.com/office/2006/metadata/properties" xmlns:ns2="256fae6a-dd89-4c1a-91c2-ccfb79169913" targetNamespace="http://schemas.microsoft.com/office/2006/metadata/properties" ma:root="true" ma:fieldsID="449b4942ba8f5971de11805df1c7ea9d" ns2:_="">
    <xsd:import namespace="256fae6a-dd89-4c1a-91c2-ccfb7916991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6fae6a-dd89-4c1a-91c2-ccfb791699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155DE04-88D0-4AF1-8AF4-F228F2A5DC7A}"/>
</file>

<file path=customXml/itemProps2.xml><?xml version="1.0" encoding="utf-8"?>
<ds:datastoreItem xmlns:ds="http://schemas.openxmlformats.org/officeDocument/2006/customXml" ds:itemID="{B73ED5B5-153D-4F59-920C-8EA875666C0F}"/>
</file>

<file path=customXml/itemProps3.xml><?xml version="1.0" encoding="utf-8"?>
<ds:datastoreItem xmlns:ds="http://schemas.openxmlformats.org/officeDocument/2006/customXml" ds:itemID="{34BD9F7F-708E-4D32-8CEC-15492FACF90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2026-08-08T20:22:34Z</dcterms:created>
  <dcterms:modified xsi:type="dcterms:W3CDTF">2026-09-07T09:16:08Z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0x010100FABE21D962A11E428D513CD6C06769A6</vt:lpwstr>
  </property>
</Properties>
</file>